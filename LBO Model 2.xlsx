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nelsonolawoyin/Downloads/"/>
    </mc:Choice>
  </mc:AlternateContent>
  <xr:revisionPtr revIDLastSave="0" documentId="8_{D5E75CAD-3664-AF4E-808D-9682D9EA6D7F}" xr6:coauthVersionLast="47" xr6:coauthVersionMax="47" xr10:uidLastSave="{00000000-0000-0000-0000-000000000000}"/>
  <bookViews>
    <workbookView xWindow="13680" yWindow="2800" windowWidth="23520" windowHeight="16160" tabRatio="500" activeTab="3" xr2:uid="{00000000-000D-0000-FFFF-FFFF00000000}"/>
  </bookViews>
  <sheets>
    <sheet name="Cover" sheetId="1" r:id="rId1"/>
    <sheet name="Transaction Assumptions" sheetId="2" r:id="rId2"/>
    <sheet name="Operating Model" sheetId="3" r:id="rId3"/>
    <sheet name="Returns Analysi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5" i="4" l="1"/>
  <c r="E65" i="4"/>
  <c r="C65" i="4"/>
  <c r="C48" i="4"/>
  <c r="E48" i="4" s="1"/>
  <c r="F47" i="4"/>
  <c r="F58" i="4" s="1"/>
  <c r="E47" i="4"/>
  <c r="E56" i="4" s="1"/>
  <c r="D47" i="4"/>
  <c r="D54" i="4" s="1"/>
  <c r="C47" i="4"/>
  <c r="C56" i="4" s="1"/>
  <c r="G40" i="4"/>
  <c r="G41" i="4" s="1"/>
  <c r="C11" i="4"/>
  <c r="C12" i="4" s="1"/>
  <c r="E9" i="4"/>
  <c r="C9" i="4"/>
  <c r="E8" i="4"/>
  <c r="C8" i="4"/>
  <c r="F6" i="4"/>
  <c r="F7" i="4" s="1"/>
  <c r="E6" i="4"/>
  <c r="E7" i="4" s="1"/>
  <c r="F5" i="4"/>
  <c r="E5" i="4"/>
  <c r="D5" i="4"/>
  <c r="C5" i="4"/>
  <c r="C24" i="3"/>
  <c r="C21" i="3"/>
  <c r="D19" i="3" s="1"/>
  <c r="D21" i="3" s="1"/>
  <c r="E19" i="3" s="1"/>
  <c r="E21" i="3" s="1"/>
  <c r="F19" i="3" s="1"/>
  <c r="F21" i="3" s="1"/>
  <c r="G19" i="3" s="1"/>
  <c r="G21" i="3" s="1"/>
  <c r="H19" i="3" s="1"/>
  <c r="H21" i="3" s="1"/>
  <c r="C18" i="3"/>
  <c r="C23" i="3" s="1"/>
  <c r="H12" i="3"/>
  <c r="G12" i="3"/>
  <c r="F12" i="3"/>
  <c r="E12" i="3"/>
  <c r="H9" i="3"/>
  <c r="G9" i="3"/>
  <c r="F9" i="3"/>
  <c r="D6" i="4" s="1"/>
  <c r="E9" i="3"/>
  <c r="D9" i="3"/>
  <c r="C9" i="3"/>
  <c r="C6" i="4" s="1"/>
  <c r="C7" i="4" s="1"/>
  <c r="H7" i="3"/>
  <c r="G7" i="3"/>
  <c r="F7" i="3"/>
  <c r="E7" i="3"/>
  <c r="D7" i="3"/>
  <c r="C7" i="3"/>
  <c r="H6" i="3"/>
  <c r="G6" i="3"/>
  <c r="F6" i="3"/>
  <c r="E6" i="3"/>
  <c r="D6" i="3"/>
  <c r="C40" i="2"/>
  <c r="C42" i="2" s="1"/>
  <c r="C37" i="2"/>
  <c r="C24" i="2"/>
  <c r="D23" i="2" s="1"/>
  <c r="C10" i="2"/>
  <c r="C12" i="2" s="1"/>
  <c r="C8" i="2"/>
  <c r="C6" i="2"/>
  <c r="C29" i="1"/>
  <c r="C28" i="1"/>
  <c r="C26" i="1"/>
  <c r="C25" i="1"/>
  <c r="C24" i="1"/>
  <c r="C23" i="1"/>
  <c r="C27" i="1" s="1"/>
  <c r="C14" i="1"/>
  <c r="E12" i="1"/>
  <c r="D12" i="1"/>
  <c r="D11" i="1"/>
  <c r="C11" i="1"/>
  <c r="C10" i="1"/>
  <c r="C9" i="1"/>
  <c r="D9" i="4" l="1"/>
  <c r="D7" i="4"/>
  <c r="C30" i="3"/>
  <c r="C31" i="3"/>
  <c r="C10" i="4"/>
  <c r="F48" i="4"/>
  <c r="C53" i="4"/>
  <c r="C57" i="4"/>
  <c r="D20" i="2"/>
  <c r="D25" i="1" s="1"/>
  <c r="D16" i="3"/>
  <c r="C33" i="3"/>
  <c r="G63" i="4"/>
  <c r="D19" i="2"/>
  <c r="D24" i="1" s="1"/>
  <c r="F9" i="4"/>
  <c r="D21" i="2"/>
  <c r="D26" i="1" s="1"/>
  <c r="C54" i="4"/>
  <c r="C58" i="4"/>
  <c r="C64" i="4"/>
  <c r="D18" i="2"/>
  <c r="D22" i="2"/>
  <c r="D28" i="1" s="1"/>
  <c r="C12" i="3"/>
  <c r="C25" i="3" s="1"/>
  <c r="C26" i="3" s="1"/>
  <c r="C32" i="3"/>
  <c r="E64" i="4"/>
  <c r="D12" i="3"/>
  <c r="C50" i="4"/>
  <c r="C55" i="4"/>
  <c r="C62" i="4"/>
  <c r="G64" i="4"/>
  <c r="E62" i="4"/>
  <c r="D48" i="4"/>
  <c r="G62" i="4"/>
  <c r="G42" i="4" s="1"/>
  <c r="D18" i="3" l="1"/>
  <c r="D24" i="3"/>
  <c r="D23" i="1"/>
  <c r="D27" i="1" s="1"/>
  <c r="D24" i="2"/>
  <c r="D25" i="3"/>
  <c r="D26" i="3" s="1"/>
  <c r="E16" i="3" l="1"/>
  <c r="D23" i="3"/>
  <c r="D32" i="3"/>
  <c r="D33" i="3"/>
  <c r="D31" i="3" l="1"/>
  <c r="D30" i="3"/>
  <c r="E24" i="3"/>
  <c r="E18" i="3"/>
  <c r="F16" i="3" l="1"/>
  <c r="E23" i="3"/>
  <c r="E32" i="3"/>
  <c r="E33" i="3"/>
  <c r="E25" i="3"/>
  <c r="E26" i="3" s="1"/>
  <c r="E31" i="3" l="1"/>
  <c r="E30" i="3"/>
  <c r="F24" i="3"/>
  <c r="F18" i="3"/>
  <c r="G16" i="3" l="1"/>
  <c r="F23" i="3"/>
  <c r="F32" i="3"/>
  <c r="F25" i="3"/>
  <c r="F26" i="3" s="1"/>
  <c r="F33" i="3"/>
  <c r="D10" i="4" l="1"/>
  <c r="F30" i="3"/>
  <c r="F31" i="3"/>
  <c r="D11" i="4"/>
  <c r="G18" i="3"/>
  <c r="G24" i="3"/>
  <c r="D12" i="4" l="1"/>
  <c r="D49" i="4"/>
  <c r="G32" i="3"/>
  <c r="G33" i="3"/>
  <c r="G25" i="3"/>
  <c r="G26" i="3" s="1"/>
  <c r="G23" i="3"/>
  <c r="H16" i="3"/>
  <c r="H18" i="3" l="1"/>
  <c r="H24" i="3"/>
  <c r="G30" i="3"/>
  <c r="G31" i="3"/>
  <c r="D53" i="4"/>
  <c r="D13" i="4" s="1"/>
  <c r="D18" i="1" s="1"/>
  <c r="D50" i="4"/>
  <c r="H33" i="3" l="1"/>
  <c r="H32" i="3"/>
  <c r="H25" i="3"/>
  <c r="H26" i="3" s="1"/>
  <c r="F10" i="4"/>
  <c r="F11" i="4" s="1"/>
  <c r="H23" i="3"/>
  <c r="H30" i="3" l="1"/>
  <c r="E10" i="4"/>
  <c r="H31" i="3"/>
  <c r="C40" i="4"/>
  <c r="E40" i="4"/>
  <c r="E11" i="4"/>
  <c r="F12" i="4"/>
  <c r="F49" i="4"/>
  <c r="F57" i="4" l="1"/>
  <c r="F13" i="4" s="1"/>
  <c r="F50" i="4"/>
  <c r="E12" i="4"/>
  <c r="E49" i="4"/>
  <c r="D15" i="1"/>
  <c r="D16" i="1" s="1"/>
  <c r="C63" i="4"/>
  <c r="C42" i="4" s="1"/>
  <c r="C41" i="4"/>
  <c r="E41" i="4"/>
  <c r="E63" i="4"/>
  <c r="E42" i="4" s="1"/>
  <c r="E55" i="4" l="1"/>
  <c r="E13" i="4" s="1"/>
  <c r="D17" i="1" s="1"/>
  <c r="E50" i="4"/>
</calcChain>
</file>

<file path=xl/sharedStrings.xml><?xml version="1.0" encoding="utf-8"?>
<sst xmlns="http://schemas.openxmlformats.org/spreadsheetml/2006/main" count="208" uniqueCount="152">
  <si>
    <t>APEX INDUSTRIAL SOLUTIONS</t>
  </si>
  <si>
    <t>Leveraged Buyout (LBO) Analysis | Private Equity Acquisition Model</t>
  </si>
  <si>
    <t>Industrial Manufacturing &amp; Distribution | Revenue: $380mm | EBITDA: $76mm</t>
  </si>
  <si>
    <t>TRANSACTION OVERVIEW</t>
  </si>
  <si>
    <t>Parameter</t>
  </si>
  <si>
    <t>Entry (2024)</t>
  </si>
  <si>
    <t>Exit (2029E)</t>
  </si>
  <si>
    <t>Delta</t>
  </si>
  <si>
    <t>Entry EBITDA ($mm)</t>
  </si>
  <si>
    <t>N/A</t>
  </si>
  <si>
    <t>Entry EV/EBITDA Multiple</t>
  </si>
  <si>
    <t>Enterprise Value ($mm)</t>
  </si>
  <si>
    <t>+$516mm</t>
  </si>
  <si>
    <t>Exit EBITDA Multiple</t>
  </si>
  <si>
    <t>Exit EBITDA ($mm)</t>
  </si>
  <si>
    <t>$121mm</t>
  </si>
  <si>
    <t>Total Equity Investment ($mm)</t>
  </si>
  <si>
    <t>Equity Proceeds ($mm)</t>
  </si>
  <si>
    <t>Money-on-Money (MoM)</t>
  </si>
  <si>
    <t>—</t>
  </si>
  <si>
    <t>IRR (5-year Hold)</t>
  </si>
  <si>
    <t>IRR (3-year Hold)</t>
  </si>
  <si>
    <t>CAPITAL STRUCTURE</t>
  </si>
  <si>
    <t>Tranche</t>
  </si>
  <si>
    <t>Amount ($mm)</t>
  </si>
  <si>
    <t>% of Total</t>
  </si>
  <si>
    <t>Pricing</t>
  </si>
  <si>
    <t>Revolving Credit Facility</t>
  </si>
  <si>
    <t>SOFR+200bps</t>
  </si>
  <si>
    <t>Term Loan A (TLA)</t>
  </si>
  <si>
    <t>SOFR+225bps</t>
  </si>
  <si>
    <t>Term Loan B (TLB)</t>
  </si>
  <si>
    <t>SOFR+350bps</t>
  </si>
  <si>
    <t>Senior Notes</t>
  </si>
  <si>
    <t>7.50% Fixed</t>
  </si>
  <si>
    <t>Total Debt</t>
  </si>
  <si>
    <t>~6.2% Blended</t>
  </si>
  <si>
    <t>Sponsor Equity</t>
  </si>
  <si>
    <t>Total Capitalization</t>
  </si>
  <si>
    <t>APEX INDUSTRIAL: TRANSACTION ASSUMPTIONS</t>
  </si>
  <si>
    <t>ENTRY ASSUMPTIONS</t>
  </si>
  <si>
    <t>LTM Revenue ($mm)</t>
  </si>
  <si>
    <t>LTM EBITDA ($mm)</t>
  </si>
  <si>
    <t>LTM EBITDA Margin</t>
  </si>
  <si>
    <t>Net Debt at Close ($mm)</t>
  </si>
  <si>
    <t>Equity Value at Entry ($mm)</t>
  </si>
  <si>
    <t>Transaction Fees ($mm)</t>
  </si>
  <si>
    <t>Total Uses of Cash ($mm)</t>
  </si>
  <si>
    <t>SOURCES &amp; USES OF CAPITAL</t>
  </si>
  <si>
    <t>Component</t>
  </si>
  <si>
    <t>Term Loan A</t>
  </si>
  <si>
    <t>Term Loan B</t>
  </si>
  <si>
    <t>Management Rollover</t>
  </si>
  <si>
    <t>Total Sources</t>
  </si>
  <si>
    <t>DEBT PRICING &amp; AMORTIZATION ASSUMPTIONS</t>
  </si>
  <si>
    <t>Term Loan A Rate (SOFR + 225bps)</t>
  </si>
  <si>
    <t>Term Loan B Rate (SOFR + 350bps)</t>
  </si>
  <si>
    <t>Senior Notes Rate (Fixed)</t>
  </si>
  <si>
    <t>TLA Annual Amortization</t>
  </si>
  <si>
    <t>TLB Annual Amortization</t>
  </si>
  <si>
    <t>Cash Sweep % (excess CF)</t>
  </si>
  <si>
    <t>EXIT ASSUMPTIONS</t>
  </si>
  <si>
    <t>Exit Year</t>
  </si>
  <si>
    <t>Hold Period (years)</t>
  </si>
  <si>
    <t>Exit Enterprise Value ($mm)</t>
  </si>
  <si>
    <t>Estimated Exit Net Debt ($mm)</t>
  </si>
  <si>
    <t>Exit Equity Value ($mm)</t>
  </si>
  <si>
    <t>APEX INDUSTRIAL: OPERATING MODEL (POST-ACQUISITION)</t>
  </si>
  <si>
    <t>INCOME STATEMENT ($mm)</t>
  </si>
  <si>
    <t>Line Item</t>
  </si>
  <si>
    <t>FY2024A</t>
  </si>
  <si>
    <t>FY2025E</t>
  </si>
  <si>
    <t>FY2026E</t>
  </si>
  <si>
    <t>FY2027E</t>
  </si>
  <si>
    <t>FY2028E</t>
  </si>
  <si>
    <t>FY2029E</t>
  </si>
  <si>
    <t>Revenue</t>
  </si>
  <si>
    <t xml:space="preserve">  YoY Growth</t>
  </si>
  <si>
    <t>Gross Profit</t>
  </si>
  <si>
    <t xml:space="preserve">  Gross Margin %</t>
  </si>
  <si>
    <t>EBITDA</t>
  </si>
  <si>
    <t xml:space="preserve">  EBITDA Margin %</t>
  </si>
  <si>
    <t>Depreciation &amp; Amortization</t>
  </si>
  <si>
    <t>EBIT</t>
  </si>
  <si>
    <t>DEBT SCHEDULE ($mm)</t>
  </si>
  <si>
    <t>TLA Beginning Balance</t>
  </si>
  <si>
    <t xml:space="preserve">  TLA Mandatory Amortization</t>
  </si>
  <si>
    <t>TLA Ending Balance</t>
  </si>
  <si>
    <t>TLB Beginning Balance</t>
  </si>
  <si>
    <t xml:space="preserve">  TLB Mandatory Amortization</t>
  </si>
  <si>
    <t>TLB Ending Balance</t>
  </si>
  <si>
    <t>Total Debt (Ending)</t>
  </si>
  <si>
    <t>Total Interest Expense</t>
  </si>
  <si>
    <t>Pre-Tax Income</t>
  </si>
  <si>
    <t>Net Income (after 25% tax)</t>
  </si>
  <si>
    <t>CREDIT STATISTICS &amp; COVENANTS</t>
  </si>
  <si>
    <t>Total Debt / EBITDA</t>
  </si>
  <si>
    <t>Net Debt / EBITDA</t>
  </si>
  <si>
    <t>EBITDA / Interest (Coverage)</t>
  </si>
  <si>
    <t>Fixed Charge Coverage Ratio</t>
  </si>
  <si>
    <t>Debt Covenant (Max Net Lev)</t>
  </si>
  <si>
    <t>APEX INDUSTRIAL: LBO RETURNS ANALYSIS</t>
  </si>
  <si>
    <t>BASE CASE RETURNS SUMMARY (5-YEAR HOLD)</t>
  </si>
  <si>
    <t>Metric</t>
  </si>
  <si>
    <t>Year 3 (2027)</t>
  </si>
  <si>
    <t>Year 5 (2029)</t>
  </si>
  <si>
    <t>Year 7 (2031)</t>
  </si>
  <si>
    <t>Revenue ($mm)</t>
  </si>
  <si>
    <t>EBITDA ($mm)</t>
  </si>
  <si>
    <t>EBITDA Margin</t>
  </si>
  <si>
    <t>EV/EBITDA Exit Multiple</t>
  </si>
  <si>
    <t>Less: Net Debt ($mm)</t>
  </si>
  <si>
    <t>Equity Value ($mm)</t>
  </si>
  <si>
    <t>IRR (from Entry)</t>
  </si>
  <si>
    <t>IRR SENSITIVITY: EXIT MULTIPLE vs. EBITDA MARGIN (5-YEAR HOLD)</t>
  </si>
  <si>
    <t>Note: IRR sensitivity values are Excel Data Table outputs. Row input = Transaction Assumptions C38. Column input = Operating Model H10.</t>
  </si>
  <si>
    <t>Exit Multiple \ EBITDA Margin</t>
  </si>
  <si>
    <t>Note: The IRR sensitivity values above are outputs of a two-variable Excel Data Table (Data &gt; What-If Analysis &gt; Data Table). Row input cell: Transaction Assumptions C38 (Exit EV/EBITDA Multiple). Column input cell: Operating Model H10 (EBITDA Margin). To refresh, re-run the data table after changing any underlying assumptions.</t>
  </si>
  <si>
    <t>MoM SENSITIVITY: EXIT MULTIPLE vs. HOLD PERIOD</t>
  </si>
  <si>
    <t>Note: MoM sensitivity values are Excel Data Table outputs. Anchored to base case MoM (cell E12).</t>
  </si>
  <si>
    <t>Exit Multiple \ Hold Period</t>
  </si>
  <si>
    <t>3 Years</t>
  </si>
  <si>
    <t>4 Years</t>
  </si>
  <si>
    <t>5 Years</t>
  </si>
  <si>
    <t>6 Years</t>
  </si>
  <si>
    <t>7 Years</t>
  </si>
  <si>
    <t>SCENARIO ANALYSIS: BEAR / BASE / BULL CASE</t>
  </si>
  <si>
    <t>Bear Case</t>
  </si>
  <si>
    <t>Base Case</t>
  </si>
  <si>
    <t>Bull Case</t>
  </si>
  <si>
    <t>Revenue CAGR</t>
  </si>
  <si>
    <t>Exit EBITDA Margin</t>
  </si>
  <si>
    <t>Exit EV/EBITDA</t>
  </si>
  <si>
    <t>Money-on-Money</t>
  </si>
  <si>
    <t>IRR (5-Year)</t>
  </si>
  <si>
    <t>IRR CALCULATION: XIRR CASH FLOW SCHEDULE</t>
  </si>
  <si>
    <t>Cash Flow Item</t>
  </si>
  <si>
    <t>Date</t>
  </si>
  <si>
    <t>Equity Investment (Outflow)</t>
  </si>
  <si>
    <t>Exit Equity Proceeds (Inflow)</t>
  </si>
  <si>
    <t>Net Cash Flow</t>
  </si>
  <si>
    <t>Year 3 Exit: Cash Flows</t>
  </si>
  <si>
    <t>Year 3 Exit: Dates</t>
  </si>
  <si>
    <t>Year 5 Exit: Cash Flows</t>
  </si>
  <si>
    <t>Year 5 Exit: Dates</t>
  </si>
  <si>
    <t>Year 7 Exit: Cash Flows</t>
  </si>
  <si>
    <t>Year 7 Exit: Dates</t>
  </si>
  <si>
    <t>SCENARIO IRR: XIRR CASH FLOW INPUTS</t>
  </si>
  <si>
    <t>Year 0: Equity Investment (Outflow)</t>
  </si>
  <si>
    <t>Year 5: Exit Equity Proceeds (Inflow)</t>
  </si>
  <si>
    <t>Year 0: Entry Date</t>
  </si>
  <si>
    <t>Year 5: Exit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</si>
</sst>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.0"/>
    <numFmt numFmtId="165" formatCode="0.0\x"/>
    <numFmt numFmtId="166" formatCode="\$#,##0"/>
    <numFmt numFmtId="167" formatCode="\+0.0\x;\-0.0\x"/>
    <numFmt numFmtId="168" formatCode="0.0%"/>
    <numFmt numFmtId="169" formatCode="\$#,##0.0;&quot;($&quot;#,##0.0\);\-"/>
    <numFmt numFmtId="170" formatCode="&quot;($&quot;#,##0\);\$#,##0;\-"/>
    <numFmt numFmtId="171" formatCode="dd\-mmm\-yyyy"/>
  </numFmts>
  <fonts count="22" x14ac:knownFonts="1">
    <font>
      <sz val="11"/>
      <color theme="1"/>
      <name val="Calibri"/>
      <family val="2"/>
      <charset val="1"/>
    </font>
    <font>
      <b/>
      <sz val="20"/>
      <color rgb="FF1F3864"/>
      <name val="Arial"/>
      <family val="2"/>
    </font>
    <font>
      <sz val="11"/>
      <color rgb="FF595959"/>
      <name val="Arial"/>
      <family val="2"/>
    </font>
    <font>
      <i/>
      <sz val="9"/>
      <color rgb="FF595959"/>
      <name val="Arial"/>
      <family val="2"/>
    </font>
    <font>
      <b/>
      <sz val="10"/>
      <color rgb="FF1F3864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i/>
      <sz val="11"/>
      <color rgb="FF888888"/>
      <name val="Cambria"/>
      <family val="1"/>
    </font>
    <font>
      <sz val="11"/>
      <color rgb="FF008000"/>
      <name val="Cambria"/>
      <family val="1"/>
    </font>
    <font>
      <b/>
      <sz val="11"/>
      <name val="Cambria"/>
      <family val="1"/>
    </font>
    <font>
      <sz val="9"/>
      <color rgb="FF0000FF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b/>
      <sz val="9"/>
      <color rgb="FF0000FF"/>
      <name val="Arial"/>
      <family val="2"/>
    </font>
    <font>
      <sz val="11"/>
      <color rgb="FF000000"/>
      <name val="Cambria"/>
      <family val="1"/>
    </font>
    <font>
      <i/>
      <sz val="9"/>
      <color rgb="FF666666"/>
      <name val="Cambria"/>
      <family val="1"/>
    </font>
    <font>
      <sz val="9"/>
      <color rgb="FFFFFFFF"/>
      <name val="Arial"/>
      <family val="2"/>
    </font>
    <font>
      <sz val="11"/>
      <color rgb="FF0000FF"/>
      <name val="Cambria"/>
      <family val="1"/>
    </font>
    <font>
      <b/>
      <sz val="9"/>
      <color rgb="FFFF0000"/>
      <name val="Arial"/>
      <family val="2"/>
    </font>
    <font>
      <b/>
      <sz val="9"/>
      <color rgb="FF595959"/>
      <name val="Arial"/>
      <family val="2"/>
    </font>
    <font>
      <b/>
      <sz val="9"/>
      <color rgb="FF00B05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C9A84C"/>
        <bgColor rgb="FFFF9900"/>
      </patternFill>
    </fill>
    <fill>
      <patternFill patternType="solid">
        <fgColor rgb="FF7B4FB6"/>
        <bgColor rgb="FF666666"/>
      </patternFill>
    </fill>
    <fill>
      <patternFill patternType="solid">
        <fgColor rgb="FFF2F2F2"/>
        <bgColor rgb="FFEDE4F8"/>
      </patternFill>
    </fill>
    <fill>
      <patternFill patternType="solid">
        <fgColor rgb="FFFFFFFF"/>
        <bgColor rgb="FFF2F2F2"/>
      </patternFill>
    </fill>
    <fill>
      <patternFill patternType="solid">
        <fgColor rgb="FFC9B8E8"/>
        <bgColor rgb="FFCC99FF"/>
      </patternFill>
    </fill>
    <fill>
      <patternFill patternType="solid">
        <fgColor rgb="FF3B1F64"/>
        <bgColor rgb="FF1F3864"/>
      </patternFill>
    </fill>
    <fill>
      <patternFill patternType="solid">
        <fgColor rgb="FFEDE4F8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9A84C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rgb="FFFFD7D7"/>
        <bgColor rgb="FFEDE4F8"/>
      </patternFill>
    </fill>
    <fill>
      <patternFill patternType="solid">
        <fgColor rgb="FFFFF2CC"/>
        <bgColor rgb="FFF2F2F2"/>
      </patternFill>
    </fill>
    <fill>
      <patternFill patternType="solid">
        <fgColor rgb="FFD7F0D7"/>
        <bgColor rgb="FFF2F2F2"/>
      </patternFill>
    </fill>
    <fill>
      <patternFill patternType="solid">
        <fgColor rgb="FFD9D9D9"/>
        <bgColor rgb="FFEDE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5" fillId="7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2" borderId="0" xfId="0" applyFill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164" fontId="7" fillId="4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165" fontId="7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166" fontId="7" fillId="4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67" fontId="7" fillId="5" borderId="0" xfId="0" applyNumberFormat="1" applyFont="1" applyFill="1" applyAlignment="1">
      <alignment horizontal="center" vertical="center"/>
    </xf>
    <xf numFmtId="166" fontId="9" fillId="5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168" fontId="7" fillId="4" borderId="0" xfId="0" applyNumberFormat="1" applyFont="1" applyFill="1" applyAlignment="1">
      <alignment horizontal="center" vertical="center"/>
    </xf>
    <xf numFmtId="168" fontId="7" fillId="5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9" fontId="7" fillId="4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166" fontId="7" fillId="5" borderId="0" xfId="0" applyNumberFormat="1" applyFont="1" applyFill="1" applyAlignment="1">
      <alignment horizontal="center" vertical="center"/>
    </xf>
    <xf numFmtId="9" fontId="7" fillId="5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166" fontId="6" fillId="6" borderId="0" xfId="0" applyNumberFormat="1" applyFont="1" applyFill="1" applyAlignment="1">
      <alignment horizontal="center" vertical="center"/>
    </xf>
    <xf numFmtId="9" fontId="6" fillId="6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7" fillId="4" borderId="0" xfId="0" applyFont="1" applyFill="1"/>
    <xf numFmtId="169" fontId="11" fillId="4" borderId="0" xfId="0" applyNumberFormat="1" applyFont="1" applyFill="1" applyAlignment="1">
      <alignment horizontal="center" vertical="center"/>
    </xf>
    <xf numFmtId="0" fontId="7" fillId="5" borderId="0" xfId="0" applyFont="1" applyFill="1"/>
    <xf numFmtId="169" fontId="11" fillId="5" borderId="0" xfId="0" applyNumberFormat="1" applyFont="1" applyFill="1" applyAlignment="1">
      <alignment horizontal="center" vertical="center"/>
    </xf>
    <xf numFmtId="165" fontId="11" fillId="5" borderId="0" xfId="0" applyNumberFormat="1" applyFont="1" applyFill="1" applyAlignment="1">
      <alignment horizontal="center" vertical="center"/>
    </xf>
    <xf numFmtId="169" fontId="7" fillId="4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168" fontId="12" fillId="4" borderId="0" xfId="0" applyNumberFormat="1" applyFont="1" applyFill="1" applyAlignment="1">
      <alignment horizontal="center"/>
    </xf>
    <xf numFmtId="168" fontId="12" fillId="5" borderId="0" xfId="0" applyNumberFormat="1" applyFont="1" applyFill="1" applyAlignment="1">
      <alignment horizontal="center"/>
    </xf>
    <xf numFmtId="0" fontId="6" fillId="6" borderId="0" xfId="0" applyFont="1" applyFill="1"/>
    <xf numFmtId="169" fontId="6" fillId="6" borderId="0" xfId="0" applyNumberFormat="1" applyFont="1" applyFill="1" applyAlignment="1">
      <alignment horizontal="center" vertical="center"/>
    </xf>
    <xf numFmtId="168" fontId="6" fillId="6" borderId="0" xfId="0" applyNumberFormat="1" applyFont="1" applyFill="1" applyAlignment="1">
      <alignment horizontal="center" vertical="center"/>
    </xf>
    <xf numFmtId="168" fontId="11" fillId="4" borderId="0" xfId="0" applyNumberFormat="1" applyFont="1" applyFill="1" applyAlignment="1">
      <alignment horizontal="center" vertical="center"/>
    </xf>
    <xf numFmtId="168" fontId="11" fillId="5" borderId="0" xfId="0" applyNumberFormat="1" applyFont="1" applyFill="1" applyAlignment="1">
      <alignment horizontal="center" vertical="center"/>
    </xf>
    <xf numFmtId="1" fontId="11" fillId="4" borderId="0" xfId="0" applyNumberFormat="1" applyFont="1" applyFill="1" applyAlignment="1">
      <alignment horizontal="center" vertical="center"/>
    </xf>
    <xf numFmtId="169" fontId="7" fillId="5" borderId="0" xfId="0" applyNumberFormat="1" applyFont="1" applyFill="1" applyAlignment="1">
      <alignment horizontal="center" vertical="center"/>
    </xf>
    <xf numFmtId="165" fontId="11" fillId="4" borderId="0" xfId="0" applyNumberFormat="1" applyFont="1" applyFill="1" applyAlignment="1">
      <alignment horizontal="center" vertical="center"/>
    </xf>
    <xf numFmtId="169" fontId="11" fillId="6" borderId="0" xfId="0" applyNumberFormat="1" applyFont="1" applyFill="1" applyAlignment="1">
      <alignment horizontal="center" vertical="center"/>
    </xf>
    <xf numFmtId="0" fontId="5" fillId="7" borderId="0" xfId="0" applyFont="1" applyFill="1"/>
    <xf numFmtId="169" fontId="5" fillId="7" borderId="0" xfId="0" applyNumberFormat="1" applyFont="1" applyFill="1" applyAlignment="1">
      <alignment horizontal="center" vertical="center"/>
    </xf>
    <xf numFmtId="0" fontId="13" fillId="4" borderId="0" xfId="0" applyFont="1" applyFill="1"/>
    <xf numFmtId="169" fontId="13" fillId="4" borderId="0" xfId="0" applyNumberFormat="1" applyFont="1" applyFill="1" applyAlignment="1">
      <alignment horizontal="center" vertical="center"/>
    </xf>
    <xf numFmtId="0" fontId="6" fillId="8" borderId="0" xfId="0" applyFont="1" applyFill="1"/>
    <xf numFmtId="169" fontId="6" fillId="8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14" fillId="4" borderId="0" xfId="0" applyFont="1" applyFill="1"/>
    <xf numFmtId="166" fontId="15" fillId="4" borderId="0" xfId="0" applyNumberFormat="1" applyFont="1" applyFill="1" applyAlignment="1">
      <alignment horizontal="center" vertical="center"/>
    </xf>
    <xf numFmtId="166" fontId="15" fillId="5" borderId="0" xfId="0" applyNumberFormat="1" applyFont="1" applyFill="1" applyAlignment="1">
      <alignment horizontal="center" vertical="center"/>
    </xf>
    <xf numFmtId="170" fontId="9" fillId="5" borderId="0" xfId="0" applyNumberFormat="1" applyFont="1" applyFill="1" applyAlignment="1">
      <alignment horizontal="center" vertical="center"/>
    </xf>
    <xf numFmtId="170" fontId="15" fillId="5" borderId="0" xfId="0" applyNumberFormat="1" applyFont="1" applyFill="1" applyAlignment="1">
      <alignment horizontal="center" vertical="center"/>
    </xf>
    <xf numFmtId="166" fontId="9" fillId="4" borderId="0" xfId="0" applyNumberFormat="1" applyFont="1" applyFill="1" applyAlignment="1">
      <alignment horizontal="center" vertical="center"/>
    </xf>
    <xf numFmtId="165" fontId="15" fillId="6" borderId="0" xfId="0" applyNumberFormat="1" applyFont="1" applyFill="1" applyAlignment="1">
      <alignment horizontal="center" vertical="center"/>
    </xf>
    <xf numFmtId="168" fontId="15" fillId="6" borderId="0" xfId="0" applyNumberFormat="1" applyFont="1" applyFill="1" applyAlignment="1">
      <alignment horizontal="center" vertical="center"/>
    </xf>
    <xf numFmtId="0" fontId="16" fillId="0" borderId="0" xfId="0" applyFont="1" applyAlignment="1">
      <alignment wrapText="1"/>
    </xf>
    <xf numFmtId="9" fontId="5" fillId="3" borderId="0" xfId="0" applyNumberFormat="1" applyFont="1" applyFill="1" applyAlignment="1">
      <alignment horizontal="center" vertical="center"/>
    </xf>
    <xf numFmtId="165" fontId="5" fillId="3" borderId="0" xfId="0" applyNumberFormat="1" applyFont="1" applyFill="1" applyAlignment="1">
      <alignment horizontal="center" vertical="center"/>
    </xf>
    <xf numFmtId="168" fontId="12" fillId="9" borderId="0" xfId="0" applyNumberFormat="1" applyFont="1" applyFill="1" applyAlignment="1">
      <alignment horizontal="center" vertical="center"/>
    </xf>
    <xf numFmtId="168" fontId="12" fillId="10" borderId="0" xfId="0" applyNumberFormat="1" applyFont="1" applyFill="1" applyAlignment="1">
      <alignment horizontal="center" vertical="center"/>
    </xf>
    <xf numFmtId="168" fontId="5" fillId="11" borderId="0" xfId="0" applyNumberFormat="1" applyFont="1" applyFill="1" applyAlignment="1">
      <alignment horizontal="center" vertical="center"/>
    </xf>
    <xf numFmtId="165" fontId="17" fillId="12" borderId="0" xfId="0" applyNumberFormat="1" applyFont="1" applyFill="1" applyAlignment="1">
      <alignment horizontal="center" vertical="center"/>
    </xf>
    <xf numFmtId="165" fontId="12" fillId="13" borderId="0" xfId="0" applyNumberFormat="1" applyFont="1" applyFill="1" applyAlignment="1">
      <alignment horizontal="center" vertical="center"/>
    </xf>
    <xf numFmtId="165" fontId="12" fillId="9" borderId="0" xfId="0" applyNumberFormat="1" applyFont="1" applyFill="1" applyAlignment="1">
      <alignment horizontal="center" vertical="center"/>
    </xf>
    <xf numFmtId="165" fontId="12" fillId="10" borderId="0" xfId="0" applyNumberFormat="1" applyFont="1" applyFill="1" applyAlignment="1">
      <alignment horizontal="center" vertical="center"/>
    </xf>
    <xf numFmtId="165" fontId="5" fillId="11" borderId="0" xfId="0" applyNumberFormat="1" applyFont="1" applyFill="1" applyAlignment="1">
      <alignment horizontal="center" vertical="center"/>
    </xf>
    <xf numFmtId="9" fontId="18" fillId="14" borderId="0" xfId="0" applyNumberFormat="1" applyFont="1" applyFill="1" applyAlignment="1">
      <alignment horizontal="center" vertical="center"/>
    </xf>
    <xf numFmtId="0" fontId="19" fillId="14" borderId="0" xfId="0" applyFont="1" applyFill="1" applyAlignment="1">
      <alignment horizontal="center" vertical="center"/>
    </xf>
    <xf numFmtId="9" fontId="18" fillId="15" borderId="0" xfId="0" applyNumberFormat="1" applyFont="1" applyFill="1" applyAlignment="1">
      <alignment horizontal="center" vertical="center"/>
    </xf>
    <xf numFmtId="0" fontId="20" fillId="15" borderId="0" xfId="0" applyFont="1" applyFill="1" applyAlignment="1">
      <alignment horizontal="center" vertical="center"/>
    </xf>
    <xf numFmtId="9" fontId="18" fillId="16" borderId="0" xfId="0" applyNumberFormat="1" applyFont="1" applyFill="1" applyAlignment="1">
      <alignment horizontal="center" vertical="center"/>
    </xf>
    <xf numFmtId="0" fontId="21" fillId="16" borderId="0" xfId="0" applyFont="1" applyFill="1" applyAlignment="1">
      <alignment horizontal="center" vertical="center"/>
    </xf>
    <xf numFmtId="168" fontId="18" fillId="15" borderId="0" xfId="0" applyNumberFormat="1" applyFont="1" applyFill="1" applyAlignment="1">
      <alignment horizontal="center" vertical="center"/>
    </xf>
    <xf numFmtId="165" fontId="18" fillId="14" borderId="0" xfId="0" applyNumberFormat="1" applyFont="1" applyFill="1" applyAlignment="1">
      <alignment horizontal="center" vertical="center"/>
    </xf>
    <xf numFmtId="165" fontId="18" fillId="15" borderId="0" xfId="0" applyNumberFormat="1" applyFont="1" applyFill="1" applyAlignment="1">
      <alignment horizontal="center" vertical="center"/>
    </xf>
    <xf numFmtId="165" fontId="18" fillId="16" borderId="0" xfId="0" applyNumberFormat="1" applyFont="1" applyFill="1" applyAlignment="1">
      <alignment horizontal="center" vertical="center"/>
    </xf>
    <xf numFmtId="166" fontId="15" fillId="14" borderId="0" xfId="0" applyNumberFormat="1" applyFont="1" applyFill="1" applyAlignment="1">
      <alignment horizontal="center" vertical="center"/>
    </xf>
    <xf numFmtId="166" fontId="20" fillId="15" borderId="0" xfId="0" applyNumberFormat="1" applyFont="1" applyFill="1" applyAlignment="1">
      <alignment horizontal="center" vertical="center"/>
    </xf>
    <xf numFmtId="166" fontId="21" fillId="16" borderId="0" xfId="0" applyNumberFormat="1" applyFont="1" applyFill="1" applyAlignment="1">
      <alignment horizontal="center" vertical="center"/>
    </xf>
    <xf numFmtId="165" fontId="15" fillId="14" borderId="0" xfId="0" applyNumberFormat="1" applyFont="1" applyFill="1" applyAlignment="1">
      <alignment horizontal="center" vertical="center"/>
    </xf>
    <xf numFmtId="165" fontId="15" fillId="15" borderId="0" xfId="0" applyNumberFormat="1" applyFont="1" applyFill="1" applyAlignment="1">
      <alignment horizontal="center" vertical="center"/>
    </xf>
    <xf numFmtId="165" fontId="15" fillId="16" borderId="0" xfId="0" applyNumberFormat="1" applyFont="1" applyFill="1" applyAlignment="1">
      <alignment horizontal="center" vertical="center"/>
    </xf>
    <xf numFmtId="168" fontId="15" fillId="14" borderId="0" xfId="0" applyNumberFormat="1" applyFont="1" applyFill="1" applyAlignment="1">
      <alignment horizontal="center" vertical="center"/>
    </xf>
    <xf numFmtId="168" fontId="15" fillId="15" borderId="0" xfId="0" applyNumberFormat="1" applyFont="1" applyFill="1" applyAlignment="1">
      <alignment horizontal="center" vertical="center"/>
    </xf>
    <xf numFmtId="168" fontId="15" fillId="16" borderId="0" xfId="0" applyNumberFormat="1" applyFont="1" applyFill="1" applyAlignment="1">
      <alignment horizontal="center" vertical="center"/>
    </xf>
    <xf numFmtId="0" fontId="10" fillId="0" borderId="0" xfId="0" applyFont="1"/>
    <xf numFmtId="0" fontId="10" fillId="17" borderId="0" xfId="0" applyFont="1" applyFill="1"/>
    <xf numFmtId="171" fontId="18" fillId="0" borderId="0" xfId="0" applyNumberFormat="1" applyFont="1"/>
    <xf numFmtId="166" fontId="9" fillId="0" borderId="0" xfId="0" applyNumberFormat="1" applyFont="1"/>
    <xf numFmtId="166" fontId="15" fillId="0" borderId="0" xfId="0" applyNumberFormat="1" applyFont="1"/>
    <xf numFmtId="166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8E8"/>
      <rgbColor rgb="FF888888"/>
      <rgbColor rgb="FF9999FF"/>
      <rgbColor rgb="FF7B4FB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4F8"/>
      <rgbColor rgb="FFD7F0D7"/>
      <rgbColor rgb="FFFFFF99"/>
      <rgbColor rgb="FF99CCFF"/>
      <rgbColor rgb="FFFF99CC"/>
      <rgbColor rgb="FFCC99FF"/>
      <rgbColor rgb="FFFFD7D7"/>
      <rgbColor rgb="FF3366FF"/>
      <rgbColor rgb="FF33CCCC"/>
      <rgbColor rgb="FF92D050"/>
      <rgbColor rgb="FFFFC000"/>
      <rgbColor rgb="FFFF9900"/>
      <rgbColor rgb="FFFF6600"/>
      <rgbColor rgb="FF666666"/>
      <rgbColor rgb="FFC9A84C"/>
      <rgbColor rgb="FF1F3864"/>
      <rgbColor rgb="FF00B050"/>
      <rgbColor rgb="FF003300"/>
      <rgbColor rgb="FF333300"/>
      <rgbColor rgb="FF993300"/>
      <rgbColor rgb="FF993366"/>
      <rgbColor rgb="FF595959"/>
      <rgbColor rgb="FF3B1F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9"/>
  <sheetViews>
    <sheetView showGridLines="0" topLeftCell="A16" zoomScaleNormal="100" workbookViewId="0">
      <selection activeCell="C14" sqref="C14"/>
    </sheetView>
  </sheetViews>
  <sheetFormatPr baseColWidth="10" defaultColWidth="8.6640625" defaultRowHeight="15" x14ac:dyDescent="0.2"/>
  <cols>
    <col min="1" max="1" width="3" customWidth="1"/>
    <col min="2" max="2" width="30" customWidth="1"/>
    <col min="3" max="5" width="20" customWidth="1"/>
    <col min="6" max="6" width="3" customWidth="1"/>
  </cols>
  <sheetData>
    <row r="2" spans="2:5" ht="24" customHeight="1" x14ac:dyDescent="0.2">
      <c r="B2" s="6" t="s">
        <v>0</v>
      </c>
      <c r="C2" s="6"/>
      <c r="D2" s="6"/>
      <c r="E2" s="6"/>
    </row>
    <row r="3" spans="2:5" ht="15" customHeight="1" x14ac:dyDescent="0.2">
      <c r="B3" s="5" t="s">
        <v>1</v>
      </c>
      <c r="C3" s="5"/>
      <c r="D3" s="5"/>
      <c r="E3" s="5"/>
    </row>
    <row r="4" spans="2:5" ht="15" customHeight="1" x14ac:dyDescent="0.2">
      <c r="B4" s="4" t="s">
        <v>2</v>
      </c>
      <c r="C4" s="4"/>
      <c r="D4" s="4"/>
      <c r="E4" s="4"/>
    </row>
    <row r="5" spans="2:5" ht="15" customHeight="1" x14ac:dyDescent="0.2">
      <c r="B5" s="7"/>
      <c r="C5" s="7"/>
      <c r="D5" s="7"/>
      <c r="E5" s="7"/>
    </row>
    <row r="7" spans="2:5" ht="15" customHeight="1" x14ac:dyDescent="0.2">
      <c r="B7" s="3" t="s">
        <v>3</v>
      </c>
      <c r="C7" s="3"/>
      <c r="D7" s="3"/>
      <c r="E7" s="3"/>
    </row>
    <row r="8" spans="2:5" ht="15" customHeight="1" x14ac:dyDescent="0.2">
      <c r="B8" s="8" t="s">
        <v>4</v>
      </c>
      <c r="C8" s="8" t="s">
        <v>5</v>
      </c>
      <c r="D8" s="8" t="s">
        <v>6</v>
      </c>
      <c r="E8" s="8" t="s">
        <v>7</v>
      </c>
    </row>
    <row r="9" spans="2:5" ht="15" customHeight="1" x14ac:dyDescent="0.2">
      <c r="B9" s="9" t="s">
        <v>8</v>
      </c>
      <c r="C9" s="10">
        <f>'Transaction Assumptions'!C5</f>
        <v>76</v>
      </c>
      <c r="D9" s="11" t="s">
        <v>9</v>
      </c>
      <c r="E9" s="11" t="s">
        <v>9</v>
      </c>
    </row>
    <row r="10" spans="2:5" ht="15" customHeight="1" x14ac:dyDescent="0.2">
      <c r="B10" s="12" t="s">
        <v>10</v>
      </c>
      <c r="C10" s="13">
        <f>'Transaction Assumptions'!C7</f>
        <v>10</v>
      </c>
      <c r="D10" s="14" t="s">
        <v>9</v>
      </c>
      <c r="E10" s="14" t="s">
        <v>9</v>
      </c>
    </row>
    <row r="11" spans="2:5" ht="15" customHeight="1" x14ac:dyDescent="0.2">
      <c r="B11" s="9" t="s">
        <v>11</v>
      </c>
      <c r="C11" s="15">
        <f>'Transaction Assumptions'!C8</f>
        <v>760</v>
      </c>
      <c r="D11" s="15">
        <f>'Transaction Assumptions'!C40</f>
        <v>1270.5</v>
      </c>
      <c r="E11" s="16" t="s">
        <v>12</v>
      </c>
    </row>
    <row r="12" spans="2:5" ht="15" customHeight="1" x14ac:dyDescent="0.2">
      <c r="B12" s="12" t="s">
        <v>13</v>
      </c>
      <c r="C12" s="14" t="s">
        <v>9</v>
      </c>
      <c r="D12" s="13">
        <f>'Transaction Assumptions'!C38</f>
        <v>10.5</v>
      </c>
      <c r="E12" s="17">
        <f>'Transaction Assumptions'!C38-'Transaction Assumptions'!C7</f>
        <v>0.5</v>
      </c>
    </row>
    <row r="13" spans="2:5" ht="15" customHeight="1" x14ac:dyDescent="0.2">
      <c r="B13" s="9" t="s">
        <v>14</v>
      </c>
      <c r="C13" s="11" t="s">
        <v>9</v>
      </c>
      <c r="D13" s="11" t="s">
        <v>9</v>
      </c>
      <c r="E13" s="16" t="s">
        <v>15</v>
      </c>
    </row>
    <row r="14" spans="2:5" ht="15" customHeight="1" x14ac:dyDescent="0.2">
      <c r="B14" s="12" t="s">
        <v>16</v>
      </c>
      <c r="C14" s="18">
        <f>'Transaction Assumptions'!C22</f>
        <v>304</v>
      </c>
      <c r="D14" s="14" t="s">
        <v>9</v>
      </c>
      <c r="E14" s="14" t="s">
        <v>9</v>
      </c>
    </row>
    <row r="15" spans="2:5" ht="15" customHeight="1" x14ac:dyDescent="0.2">
      <c r="B15" s="9" t="s">
        <v>17</v>
      </c>
      <c r="C15" s="11" t="s">
        <v>9</v>
      </c>
      <c r="D15" s="15">
        <f>'Returns Analysis'!E11</f>
        <v>875.90000000000009</v>
      </c>
      <c r="E15" s="11" t="s">
        <v>9</v>
      </c>
    </row>
    <row r="16" spans="2:5" ht="15" customHeight="1" x14ac:dyDescent="0.2">
      <c r="B16" s="12" t="s">
        <v>18</v>
      </c>
      <c r="C16" s="19" t="s">
        <v>19</v>
      </c>
      <c r="D16" s="13">
        <f>D15/'Transaction Assumptions'!C22</f>
        <v>2.8812500000000001</v>
      </c>
      <c r="E16" s="14" t="s">
        <v>9</v>
      </c>
    </row>
    <row r="17" spans="2:5" ht="15" customHeight="1" x14ac:dyDescent="0.2">
      <c r="B17" s="9" t="s">
        <v>20</v>
      </c>
      <c r="C17" s="11" t="s">
        <v>9</v>
      </c>
      <c r="D17" s="20">
        <f>'Returns Analysis'!E13</f>
        <v>0.2354226768016815</v>
      </c>
      <c r="E17" s="11" t="s">
        <v>9</v>
      </c>
    </row>
    <row r="18" spans="2:5" ht="15" customHeight="1" x14ac:dyDescent="0.2">
      <c r="B18" s="12" t="s">
        <v>21</v>
      </c>
      <c r="C18" s="14" t="s">
        <v>9</v>
      </c>
      <c r="D18" s="21">
        <f>'Returns Analysis'!D13</f>
        <v>0.2917285501956941</v>
      </c>
      <c r="E18" s="14" t="s">
        <v>9</v>
      </c>
    </row>
    <row r="21" spans="2:5" ht="15" customHeight="1" x14ac:dyDescent="0.2">
      <c r="B21" s="3" t="s">
        <v>22</v>
      </c>
      <c r="C21" s="3"/>
      <c r="D21" s="3"/>
      <c r="E21" s="3"/>
    </row>
    <row r="22" spans="2:5" ht="15" customHeight="1" x14ac:dyDescent="0.2">
      <c r="B22" s="8" t="s">
        <v>23</v>
      </c>
      <c r="C22" s="8" t="s">
        <v>24</v>
      </c>
      <c r="D22" s="8" t="s">
        <v>25</v>
      </c>
      <c r="E22" s="8" t="s">
        <v>26</v>
      </c>
    </row>
    <row r="23" spans="2:5" ht="15" customHeight="1" x14ac:dyDescent="0.2">
      <c r="B23" s="22" t="s">
        <v>27</v>
      </c>
      <c r="C23" s="15">
        <f>'Transaction Assumptions'!C18</f>
        <v>0</v>
      </c>
      <c r="D23" s="23">
        <f>'Transaction Assumptions'!D18</f>
        <v>0</v>
      </c>
      <c r="E23" s="16" t="s">
        <v>28</v>
      </c>
    </row>
    <row r="24" spans="2:5" ht="15" customHeight="1" x14ac:dyDescent="0.2">
      <c r="B24" s="24" t="s">
        <v>29</v>
      </c>
      <c r="C24" s="25">
        <f>'Transaction Assumptions'!C19</f>
        <v>152</v>
      </c>
      <c r="D24" s="26">
        <f>'Transaction Assumptions'!D19</f>
        <v>0.2</v>
      </c>
      <c r="E24" s="19" t="s">
        <v>30</v>
      </c>
    </row>
    <row r="25" spans="2:5" ht="15" customHeight="1" x14ac:dyDescent="0.2">
      <c r="B25" s="22" t="s">
        <v>31</v>
      </c>
      <c r="C25" s="15">
        <f>'Transaction Assumptions'!C20</f>
        <v>228</v>
      </c>
      <c r="D25" s="23">
        <f>'Transaction Assumptions'!D20</f>
        <v>0.3</v>
      </c>
      <c r="E25" s="16" t="s">
        <v>32</v>
      </c>
    </row>
    <row r="26" spans="2:5" ht="15" customHeight="1" x14ac:dyDescent="0.2">
      <c r="B26" s="24" t="s">
        <v>33</v>
      </c>
      <c r="C26" s="25">
        <f>'Transaction Assumptions'!C21</f>
        <v>76</v>
      </c>
      <c r="D26" s="26">
        <f>'Transaction Assumptions'!D21</f>
        <v>0.1</v>
      </c>
      <c r="E26" s="19" t="s">
        <v>34</v>
      </c>
    </row>
    <row r="27" spans="2:5" ht="15" customHeight="1" x14ac:dyDescent="0.2">
      <c r="B27" s="27" t="s">
        <v>35</v>
      </c>
      <c r="C27" s="28">
        <f>C24+C25+C26+C23</f>
        <v>456</v>
      </c>
      <c r="D27" s="29">
        <f>D24+D25+D26+D23</f>
        <v>0.6</v>
      </c>
      <c r="E27" s="30" t="s">
        <v>36</v>
      </c>
    </row>
    <row r="28" spans="2:5" ht="15" customHeight="1" x14ac:dyDescent="0.2">
      <c r="B28" s="24" t="s">
        <v>37</v>
      </c>
      <c r="C28" s="25">
        <f>'Transaction Assumptions'!C22</f>
        <v>304</v>
      </c>
      <c r="D28" s="26">
        <f>'Transaction Assumptions'!D22</f>
        <v>0.4</v>
      </c>
      <c r="E28" s="14" t="s">
        <v>9</v>
      </c>
    </row>
    <row r="29" spans="2:5" ht="15" customHeight="1" x14ac:dyDescent="0.2">
      <c r="B29" s="27" t="s">
        <v>38</v>
      </c>
      <c r="C29" s="28">
        <f>'Transaction Assumptions'!C8</f>
        <v>760</v>
      </c>
      <c r="D29" s="29">
        <v>1</v>
      </c>
      <c r="E29" s="31" t="s">
        <v>9</v>
      </c>
    </row>
  </sheetData>
  <mergeCells count="5">
    <mergeCell ref="B2:E2"/>
    <mergeCell ref="B3:E3"/>
    <mergeCell ref="B4:E4"/>
    <mergeCell ref="B7:E7"/>
    <mergeCell ref="B21:E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42"/>
  <sheetViews>
    <sheetView showGridLines="0" topLeftCell="A23" zoomScaleNormal="100" workbookViewId="0"/>
  </sheetViews>
  <sheetFormatPr baseColWidth="10" defaultColWidth="8.6640625" defaultRowHeight="15" x14ac:dyDescent="0.2"/>
  <cols>
    <col min="1" max="1" width="3" customWidth="1"/>
    <col min="2" max="2" width="35" customWidth="1"/>
    <col min="3" max="5" width="20" customWidth="1"/>
  </cols>
  <sheetData>
    <row r="1" spans="2:5" ht="15.75" customHeight="1" x14ac:dyDescent="0.2">
      <c r="B1" s="2" t="s">
        <v>39</v>
      </c>
      <c r="C1" s="2"/>
      <c r="D1" s="2"/>
      <c r="E1" s="2"/>
    </row>
    <row r="3" spans="2:5" ht="15.75" customHeight="1" x14ac:dyDescent="0.2">
      <c r="B3" s="1" t="s">
        <v>40</v>
      </c>
      <c r="C3" s="1"/>
      <c r="D3" s="1"/>
      <c r="E3" s="1"/>
    </row>
    <row r="4" spans="2:5" ht="15" customHeight="1" x14ac:dyDescent="0.2">
      <c r="B4" s="32" t="s">
        <v>41</v>
      </c>
      <c r="C4" s="33">
        <v>380</v>
      </c>
    </row>
    <row r="5" spans="2:5" ht="15" customHeight="1" x14ac:dyDescent="0.2">
      <c r="B5" s="34" t="s">
        <v>42</v>
      </c>
      <c r="C5" s="35">
        <v>76</v>
      </c>
    </row>
    <row r="6" spans="2:5" ht="15" customHeight="1" x14ac:dyDescent="0.2">
      <c r="B6" s="32" t="s">
        <v>43</v>
      </c>
      <c r="C6" s="20">
        <f>C5/C4</f>
        <v>0.2</v>
      </c>
    </row>
    <row r="7" spans="2:5" ht="15" customHeight="1" x14ac:dyDescent="0.2">
      <c r="B7" s="34" t="s">
        <v>10</v>
      </c>
      <c r="C7" s="36">
        <v>10</v>
      </c>
    </row>
    <row r="8" spans="2:5" ht="15" customHeight="1" x14ac:dyDescent="0.2">
      <c r="B8" s="32" t="s">
        <v>11</v>
      </c>
      <c r="C8" s="37">
        <f>C5*C7</f>
        <v>760</v>
      </c>
    </row>
    <row r="9" spans="2:5" ht="15" customHeight="1" x14ac:dyDescent="0.2">
      <c r="B9" s="34" t="s">
        <v>44</v>
      </c>
      <c r="C9" s="35">
        <v>0</v>
      </c>
    </row>
    <row r="10" spans="2:5" ht="15" customHeight="1" x14ac:dyDescent="0.2">
      <c r="B10" s="32" t="s">
        <v>45</v>
      </c>
      <c r="C10" s="37">
        <f>C8-C9</f>
        <v>760</v>
      </c>
    </row>
    <row r="11" spans="2:5" ht="15" customHeight="1" x14ac:dyDescent="0.2">
      <c r="B11" s="34" t="s">
        <v>46</v>
      </c>
      <c r="C11" s="35">
        <v>15.2</v>
      </c>
    </row>
    <row r="12" spans="2:5" ht="15" customHeight="1" x14ac:dyDescent="0.2">
      <c r="B12" s="32" t="s">
        <v>47</v>
      </c>
      <c r="C12" s="37">
        <f>C10+C11</f>
        <v>775.2</v>
      </c>
    </row>
    <row r="16" spans="2:5" ht="15.75" customHeight="1" x14ac:dyDescent="0.2">
      <c r="B16" s="1" t="s">
        <v>48</v>
      </c>
      <c r="C16" s="1"/>
      <c r="D16" s="1"/>
      <c r="E16" s="1"/>
    </row>
    <row r="17" spans="2:5" ht="15" customHeight="1" x14ac:dyDescent="0.2">
      <c r="B17" s="38" t="s">
        <v>49</v>
      </c>
      <c r="C17" s="8" t="s">
        <v>24</v>
      </c>
      <c r="D17" s="8" t="s">
        <v>25</v>
      </c>
    </row>
    <row r="18" spans="2:5" ht="15" customHeight="1" x14ac:dyDescent="0.2">
      <c r="B18" s="32" t="s">
        <v>27</v>
      </c>
      <c r="C18" s="33">
        <v>0</v>
      </c>
      <c r="D18" s="39">
        <f>C18/C24</f>
        <v>0</v>
      </c>
    </row>
    <row r="19" spans="2:5" ht="15" customHeight="1" x14ac:dyDescent="0.2">
      <c r="B19" s="34" t="s">
        <v>50</v>
      </c>
      <c r="C19" s="35">
        <v>152</v>
      </c>
      <c r="D19" s="40">
        <f>C19/C24</f>
        <v>0.2</v>
      </c>
    </row>
    <row r="20" spans="2:5" ht="15" customHeight="1" x14ac:dyDescent="0.2">
      <c r="B20" s="32" t="s">
        <v>51</v>
      </c>
      <c r="C20" s="33">
        <v>228</v>
      </c>
      <c r="D20" s="39">
        <f>C20/C24</f>
        <v>0.3</v>
      </c>
    </row>
    <row r="21" spans="2:5" ht="15" customHeight="1" x14ac:dyDescent="0.2">
      <c r="B21" s="34" t="s">
        <v>33</v>
      </c>
      <c r="C21" s="35">
        <v>76</v>
      </c>
      <c r="D21" s="40">
        <f>C21/C24</f>
        <v>0.1</v>
      </c>
    </row>
    <row r="22" spans="2:5" ht="15" customHeight="1" x14ac:dyDescent="0.2">
      <c r="B22" s="32" t="s">
        <v>37</v>
      </c>
      <c r="C22" s="33">
        <v>304</v>
      </c>
      <c r="D22" s="39">
        <f>C22/C24</f>
        <v>0.4</v>
      </c>
    </row>
    <row r="23" spans="2:5" ht="15" customHeight="1" x14ac:dyDescent="0.2">
      <c r="B23" s="34" t="s">
        <v>52</v>
      </c>
      <c r="C23" s="35">
        <v>0</v>
      </c>
      <c r="D23" s="40">
        <f>C23/C24</f>
        <v>0</v>
      </c>
    </row>
    <row r="24" spans="2:5" ht="15" customHeight="1" x14ac:dyDescent="0.2">
      <c r="B24" s="41" t="s">
        <v>53</v>
      </c>
      <c r="C24" s="42">
        <f>SUM(C18:C23)</f>
        <v>760</v>
      </c>
      <c r="D24" s="43">
        <f>SUM(D18:D23)</f>
        <v>1</v>
      </c>
    </row>
    <row r="27" spans="2:5" ht="15.75" customHeight="1" x14ac:dyDescent="0.2">
      <c r="B27" s="1" t="s">
        <v>54</v>
      </c>
      <c r="C27" s="1"/>
      <c r="D27" s="1"/>
      <c r="E27" s="1"/>
    </row>
    <row r="28" spans="2:5" ht="15" customHeight="1" x14ac:dyDescent="0.2">
      <c r="B28" s="32" t="s">
        <v>55</v>
      </c>
      <c r="C28" s="44">
        <v>7.7499999999999999E-2</v>
      </c>
    </row>
    <row r="29" spans="2:5" ht="15" customHeight="1" x14ac:dyDescent="0.2">
      <c r="B29" s="34" t="s">
        <v>56</v>
      </c>
      <c r="C29" s="45">
        <v>0.09</v>
      </c>
    </row>
    <row r="30" spans="2:5" ht="15" customHeight="1" x14ac:dyDescent="0.2">
      <c r="B30" s="32" t="s">
        <v>57</v>
      </c>
      <c r="C30" s="44">
        <v>7.4999999999999997E-2</v>
      </c>
    </row>
    <row r="31" spans="2:5" ht="15" customHeight="1" x14ac:dyDescent="0.2">
      <c r="B31" s="34" t="s">
        <v>58</v>
      </c>
      <c r="C31" s="45">
        <v>0.05</v>
      </c>
    </row>
    <row r="32" spans="2:5" ht="15" customHeight="1" x14ac:dyDescent="0.2">
      <c r="B32" s="32" t="s">
        <v>59</v>
      </c>
      <c r="C32" s="44">
        <v>0.01</v>
      </c>
    </row>
    <row r="33" spans="2:5" ht="15" customHeight="1" x14ac:dyDescent="0.2">
      <c r="B33" s="34" t="s">
        <v>60</v>
      </c>
      <c r="C33" s="45">
        <v>0.5</v>
      </c>
    </row>
    <row r="35" spans="2:5" ht="15.75" customHeight="1" x14ac:dyDescent="0.2">
      <c r="B35" s="1" t="s">
        <v>61</v>
      </c>
      <c r="C35" s="1"/>
      <c r="D35" s="1"/>
      <c r="E35" s="1"/>
    </row>
    <row r="36" spans="2:5" ht="15" customHeight="1" x14ac:dyDescent="0.2">
      <c r="B36" s="32" t="s">
        <v>62</v>
      </c>
      <c r="C36" s="46">
        <v>2029</v>
      </c>
    </row>
    <row r="37" spans="2:5" ht="15" customHeight="1" x14ac:dyDescent="0.2">
      <c r="B37" s="34" t="s">
        <v>63</v>
      </c>
      <c r="C37" s="47">
        <f>C36-2024</f>
        <v>5</v>
      </c>
    </row>
    <row r="38" spans="2:5" ht="15" customHeight="1" x14ac:dyDescent="0.2">
      <c r="B38" s="32" t="s">
        <v>13</v>
      </c>
      <c r="C38" s="48">
        <v>10.5</v>
      </c>
    </row>
    <row r="39" spans="2:5" ht="15" customHeight="1" x14ac:dyDescent="0.2">
      <c r="B39" s="34" t="s">
        <v>14</v>
      </c>
      <c r="C39" s="35">
        <v>121</v>
      </c>
    </row>
    <row r="40" spans="2:5" ht="15" customHeight="1" x14ac:dyDescent="0.2">
      <c r="B40" s="32" t="s">
        <v>64</v>
      </c>
      <c r="C40" s="37">
        <f>C38*C39</f>
        <v>1270.5</v>
      </c>
    </row>
    <row r="41" spans="2:5" ht="15" customHeight="1" x14ac:dyDescent="0.2">
      <c r="B41" s="34" t="s">
        <v>65</v>
      </c>
      <c r="C41" s="35">
        <v>122</v>
      </c>
    </row>
    <row r="42" spans="2:5" ht="15" customHeight="1" x14ac:dyDescent="0.2">
      <c r="B42" s="32" t="s">
        <v>66</v>
      </c>
      <c r="C42" s="37">
        <f>C40-C41</f>
        <v>1148.5</v>
      </c>
    </row>
  </sheetData>
  <mergeCells count="5">
    <mergeCell ref="B1:E1"/>
    <mergeCell ref="B3:E3"/>
    <mergeCell ref="B16:E16"/>
    <mergeCell ref="B27:E27"/>
    <mergeCell ref="B35:E3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34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8" customWidth="1"/>
    <col min="3" max="8" width="12" customWidth="1"/>
  </cols>
  <sheetData>
    <row r="1" spans="2:8" ht="15.75" customHeight="1" x14ac:dyDescent="0.2">
      <c r="B1" s="2" t="s">
        <v>67</v>
      </c>
      <c r="C1" s="2"/>
      <c r="D1" s="2"/>
      <c r="E1" s="2"/>
      <c r="F1" s="2"/>
      <c r="G1" s="2"/>
      <c r="H1" s="2"/>
    </row>
    <row r="3" spans="2:8" ht="15.75" customHeight="1" x14ac:dyDescent="0.2">
      <c r="B3" s="1" t="s">
        <v>68</v>
      </c>
      <c r="C3" s="1"/>
      <c r="D3" s="1"/>
      <c r="E3" s="1"/>
      <c r="F3" s="1"/>
      <c r="G3" s="1"/>
      <c r="H3" s="1"/>
    </row>
    <row r="4" spans="2:8" ht="15" customHeight="1" x14ac:dyDescent="0.2">
      <c r="B4" s="38" t="s">
        <v>69</v>
      </c>
      <c r="C4" s="8" t="s">
        <v>70</v>
      </c>
      <c r="D4" s="8" t="s">
        <v>71</v>
      </c>
      <c r="E4" s="8" t="s">
        <v>72</v>
      </c>
      <c r="F4" s="8" t="s">
        <v>73</v>
      </c>
      <c r="G4" s="8" t="s">
        <v>74</v>
      </c>
      <c r="H4" s="8" t="s">
        <v>75</v>
      </c>
    </row>
    <row r="5" spans="2:8" ht="15" customHeight="1" x14ac:dyDescent="0.2">
      <c r="B5" s="41" t="s">
        <v>76</v>
      </c>
      <c r="C5" s="49">
        <v>380</v>
      </c>
      <c r="D5" s="49">
        <v>406.6</v>
      </c>
      <c r="E5" s="49">
        <v>435.1</v>
      </c>
      <c r="F5" s="49">
        <v>465.6</v>
      </c>
      <c r="G5" s="49">
        <v>498.2</v>
      </c>
      <c r="H5" s="49">
        <v>533</v>
      </c>
    </row>
    <row r="6" spans="2:8" ht="15" customHeight="1" x14ac:dyDescent="0.2">
      <c r="B6" s="32" t="s">
        <v>77</v>
      </c>
      <c r="C6" s="20" t="s">
        <v>9</v>
      </c>
      <c r="D6" s="20">
        <f>(D5-C5)/C5</f>
        <v>7.0000000000000062E-2</v>
      </c>
      <c r="E6" s="20">
        <f>(E5-D5)/D5</f>
        <v>7.0093457943925228E-2</v>
      </c>
      <c r="F6" s="20">
        <f>(F5-E5)/E5</f>
        <v>7.009882785566536E-2</v>
      </c>
      <c r="G6" s="20">
        <f>(G5-F5)/F5</f>
        <v>7.001718213058411E-2</v>
      </c>
      <c r="H6" s="20">
        <f>(H5-G5)/G5</f>
        <v>6.9851465274989991E-2</v>
      </c>
    </row>
    <row r="7" spans="2:8" ht="15" customHeight="1" x14ac:dyDescent="0.2">
      <c r="B7" s="41" t="s">
        <v>78</v>
      </c>
      <c r="C7" s="42">
        <f>C5*0.42</f>
        <v>159.6</v>
      </c>
      <c r="D7" s="42">
        <f>D5*0.428</f>
        <v>174.0248</v>
      </c>
      <c r="E7" s="42">
        <f>E5*0.436</f>
        <v>189.70360000000002</v>
      </c>
      <c r="F7" s="42">
        <f>F5*0.444</f>
        <v>206.72640000000001</v>
      </c>
      <c r="G7" s="42">
        <f>G5*0.452</f>
        <v>225.18639999999999</v>
      </c>
      <c r="H7" s="42">
        <f>H5*0.46</f>
        <v>245.18</v>
      </c>
    </row>
    <row r="8" spans="2:8" ht="15" customHeight="1" x14ac:dyDescent="0.2">
      <c r="B8" s="32" t="s">
        <v>79</v>
      </c>
      <c r="C8" s="44">
        <v>0.42</v>
      </c>
      <c r="D8" s="44">
        <v>0.42799999999999999</v>
      </c>
      <c r="E8" s="44">
        <v>0.436</v>
      </c>
      <c r="F8" s="44">
        <v>0.44400000000000001</v>
      </c>
      <c r="G8" s="44">
        <v>0.45200000000000001</v>
      </c>
      <c r="H8" s="44">
        <v>0.46</v>
      </c>
    </row>
    <row r="9" spans="2:8" ht="15" customHeight="1" x14ac:dyDescent="0.2">
      <c r="B9" s="41" t="s">
        <v>80</v>
      </c>
      <c r="C9" s="42">
        <f>C5*0.2</f>
        <v>76</v>
      </c>
      <c r="D9" s="42">
        <f>D5*0.21</f>
        <v>85.385999999999996</v>
      </c>
      <c r="E9" s="42">
        <f>E5*0.22</f>
        <v>95.722000000000008</v>
      </c>
      <c r="F9" s="42">
        <f>F5*0.23</f>
        <v>107.08800000000001</v>
      </c>
      <c r="G9" s="42">
        <f>G5*0.24</f>
        <v>119.568</v>
      </c>
      <c r="H9" s="42">
        <f>H5*0.227</f>
        <v>120.991</v>
      </c>
    </row>
    <row r="10" spans="2:8" ht="15" customHeight="1" x14ac:dyDescent="0.2">
      <c r="B10" s="32" t="s">
        <v>81</v>
      </c>
      <c r="C10" s="44">
        <v>0.2</v>
      </c>
      <c r="D10" s="44">
        <v>0.21</v>
      </c>
      <c r="E10" s="44">
        <v>0.22</v>
      </c>
      <c r="F10" s="44">
        <v>0.23</v>
      </c>
      <c r="G10" s="44">
        <v>0.24</v>
      </c>
      <c r="H10" s="44">
        <v>0.22700000000000001</v>
      </c>
    </row>
    <row r="11" spans="2:8" ht="15" customHeight="1" x14ac:dyDescent="0.2">
      <c r="B11" s="34" t="s">
        <v>82</v>
      </c>
      <c r="C11" s="35">
        <v>12.4</v>
      </c>
      <c r="D11" s="35">
        <v>13.4</v>
      </c>
      <c r="E11" s="35">
        <v>14.4</v>
      </c>
      <c r="F11" s="35">
        <v>15.4</v>
      </c>
      <c r="G11" s="35">
        <v>16.399999999999999</v>
      </c>
      <c r="H11" s="35">
        <v>17.399999999999999</v>
      </c>
    </row>
    <row r="12" spans="2:8" ht="15" customHeight="1" x14ac:dyDescent="0.2">
      <c r="B12" s="41" t="s">
        <v>83</v>
      </c>
      <c r="C12" s="42">
        <f t="shared" ref="C12:H12" si="0">C9-C11</f>
        <v>63.6</v>
      </c>
      <c r="D12" s="42">
        <f t="shared" si="0"/>
        <v>71.98599999999999</v>
      </c>
      <c r="E12" s="42">
        <f t="shared" si="0"/>
        <v>81.322000000000003</v>
      </c>
      <c r="F12" s="42">
        <f t="shared" si="0"/>
        <v>91.688000000000002</v>
      </c>
      <c r="G12" s="42">
        <f t="shared" si="0"/>
        <v>103.16800000000001</v>
      </c>
      <c r="H12" s="42">
        <f t="shared" si="0"/>
        <v>103.59100000000001</v>
      </c>
    </row>
    <row r="14" spans="2:8" ht="15.75" customHeight="1" x14ac:dyDescent="0.2">
      <c r="B14" s="1" t="s">
        <v>84</v>
      </c>
      <c r="C14" s="1"/>
      <c r="D14" s="1"/>
      <c r="E14" s="1"/>
      <c r="F14" s="1"/>
      <c r="G14" s="1"/>
      <c r="H14" s="1"/>
    </row>
    <row r="15" spans="2:8" ht="15" customHeight="1" x14ac:dyDescent="0.2">
      <c r="B15" s="38" t="s">
        <v>69</v>
      </c>
      <c r="C15" s="8" t="s">
        <v>70</v>
      </c>
      <c r="D15" s="8" t="s">
        <v>71</v>
      </c>
      <c r="E15" s="8" t="s">
        <v>72</v>
      </c>
      <c r="F15" s="8" t="s">
        <v>73</v>
      </c>
      <c r="G15" s="8" t="s">
        <v>74</v>
      </c>
      <c r="H15" s="8" t="s">
        <v>75</v>
      </c>
    </row>
    <row r="16" spans="2:8" ht="15" customHeight="1" x14ac:dyDescent="0.2">
      <c r="B16" s="32" t="s">
        <v>85</v>
      </c>
      <c r="C16" s="37">
        <v>152</v>
      </c>
      <c r="D16" s="37">
        <f>C18</f>
        <v>144.4</v>
      </c>
      <c r="E16" s="37">
        <f>D18</f>
        <v>136.4</v>
      </c>
      <c r="F16" s="37">
        <f>E18</f>
        <v>128.4</v>
      </c>
      <c r="G16" s="37">
        <f>F18</f>
        <v>120.4</v>
      </c>
      <c r="H16" s="37">
        <f>G18</f>
        <v>112.4</v>
      </c>
    </row>
    <row r="17" spans="2:8" ht="15" customHeight="1" x14ac:dyDescent="0.2">
      <c r="B17" s="34" t="s">
        <v>86</v>
      </c>
      <c r="C17" s="35">
        <v>7.6</v>
      </c>
      <c r="D17" s="35">
        <v>8</v>
      </c>
      <c r="E17" s="35">
        <v>8</v>
      </c>
      <c r="F17" s="35">
        <v>8</v>
      </c>
      <c r="G17" s="35">
        <v>8</v>
      </c>
      <c r="H17" s="35">
        <v>8</v>
      </c>
    </row>
    <row r="18" spans="2:8" ht="15" customHeight="1" x14ac:dyDescent="0.2">
      <c r="B18" s="41" t="s">
        <v>87</v>
      </c>
      <c r="C18" s="42">
        <f t="shared" ref="C18:H18" si="1">C16-C17</f>
        <v>144.4</v>
      </c>
      <c r="D18" s="42">
        <f t="shared" si="1"/>
        <v>136.4</v>
      </c>
      <c r="E18" s="42">
        <f t="shared" si="1"/>
        <v>128.4</v>
      </c>
      <c r="F18" s="42">
        <f t="shared" si="1"/>
        <v>120.4</v>
      </c>
      <c r="G18" s="42">
        <f t="shared" si="1"/>
        <v>112.4</v>
      </c>
      <c r="H18" s="42">
        <f t="shared" si="1"/>
        <v>104.4</v>
      </c>
    </row>
    <row r="19" spans="2:8" ht="15" customHeight="1" x14ac:dyDescent="0.2">
      <c r="B19" s="34" t="s">
        <v>88</v>
      </c>
      <c r="C19" s="47">
        <v>228</v>
      </c>
      <c r="D19" s="47">
        <f>C21</f>
        <v>225.7</v>
      </c>
      <c r="E19" s="47">
        <f>D21</f>
        <v>223.39999999999998</v>
      </c>
      <c r="F19" s="47">
        <f>E21</f>
        <v>221.09999999999997</v>
      </c>
      <c r="G19" s="47">
        <f>F21</f>
        <v>218.79999999999995</v>
      </c>
      <c r="H19" s="47">
        <f>G21</f>
        <v>216.49999999999994</v>
      </c>
    </row>
    <row r="20" spans="2:8" ht="15" customHeight="1" x14ac:dyDescent="0.2">
      <c r="B20" s="32" t="s">
        <v>89</v>
      </c>
      <c r="C20" s="33">
        <v>2.2999999999999998</v>
      </c>
      <c r="D20" s="33">
        <v>2.2999999999999998</v>
      </c>
      <c r="E20" s="33">
        <v>2.2999999999999998</v>
      </c>
      <c r="F20" s="33">
        <v>2.2999999999999998</v>
      </c>
      <c r="G20" s="33">
        <v>2.2999999999999998</v>
      </c>
      <c r="H20" s="33">
        <v>2.2999999999999998</v>
      </c>
    </row>
    <row r="21" spans="2:8" ht="15" customHeight="1" x14ac:dyDescent="0.2">
      <c r="B21" s="41" t="s">
        <v>90</v>
      </c>
      <c r="C21" s="42">
        <f t="shared" ref="C21:H21" si="2">C19-C20</f>
        <v>225.7</v>
      </c>
      <c r="D21" s="42">
        <f t="shared" si="2"/>
        <v>223.39999999999998</v>
      </c>
      <c r="E21" s="42">
        <f t="shared" si="2"/>
        <v>221.09999999999997</v>
      </c>
      <c r="F21" s="42">
        <f t="shared" si="2"/>
        <v>218.79999999999995</v>
      </c>
      <c r="G21" s="42">
        <f t="shared" si="2"/>
        <v>216.49999999999994</v>
      </c>
      <c r="H21" s="42">
        <f t="shared" si="2"/>
        <v>214.19999999999993</v>
      </c>
    </row>
    <row r="22" spans="2:8" ht="15" customHeight="1" x14ac:dyDescent="0.2">
      <c r="B22" s="41" t="s">
        <v>33</v>
      </c>
      <c r="C22" s="49">
        <v>76</v>
      </c>
      <c r="D22" s="49">
        <v>76</v>
      </c>
      <c r="E22" s="49">
        <v>76</v>
      </c>
      <c r="F22" s="49">
        <v>76</v>
      </c>
      <c r="G22" s="49">
        <v>76</v>
      </c>
      <c r="H22" s="49">
        <v>76</v>
      </c>
    </row>
    <row r="23" spans="2:8" ht="15" customHeight="1" x14ac:dyDescent="0.2">
      <c r="B23" s="50" t="s">
        <v>91</v>
      </c>
      <c r="C23" s="51">
        <f t="shared" ref="C23:H23" si="3">C18+C21+C22</f>
        <v>446.1</v>
      </c>
      <c r="D23" s="51">
        <f t="shared" si="3"/>
        <v>435.79999999999995</v>
      </c>
      <c r="E23" s="51">
        <f t="shared" si="3"/>
        <v>425.5</v>
      </c>
      <c r="F23" s="51">
        <f t="shared" si="3"/>
        <v>415.19999999999993</v>
      </c>
      <c r="G23" s="51">
        <f t="shared" si="3"/>
        <v>404.9</v>
      </c>
      <c r="H23" s="51">
        <f t="shared" si="3"/>
        <v>394.59999999999991</v>
      </c>
    </row>
    <row r="24" spans="2:8" ht="15" customHeight="1" x14ac:dyDescent="0.2">
      <c r="B24" s="52" t="s">
        <v>92</v>
      </c>
      <c r="C24" s="53">
        <f t="shared" ref="C24:H24" si="4">(C16*0.0775)+(C19*0.09)+(C22*0.075)</f>
        <v>38</v>
      </c>
      <c r="D24" s="53">
        <f t="shared" si="4"/>
        <v>37.204000000000001</v>
      </c>
      <c r="E24" s="53">
        <f t="shared" si="4"/>
        <v>36.377000000000002</v>
      </c>
      <c r="F24" s="53">
        <f t="shared" si="4"/>
        <v>35.549999999999997</v>
      </c>
      <c r="G24" s="53">
        <f t="shared" si="4"/>
        <v>34.722999999999999</v>
      </c>
      <c r="H24" s="53">
        <f t="shared" si="4"/>
        <v>33.896000000000001</v>
      </c>
    </row>
    <row r="25" spans="2:8" ht="15" customHeight="1" x14ac:dyDescent="0.2">
      <c r="B25" s="54" t="s">
        <v>93</v>
      </c>
      <c r="C25" s="55">
        <f t="shared" ref="C25:H25" si="5">C12-C24</f>
        <v>25.6</v>
      </c>
      <c r="D25" s="55">
        <f t="shared" si="5"/>
        <v>34.781999999999989</v>
      </c>
      <c r="E25" s="55">
        <f t="shared" si="5"/>
        <v>44.945</v>
      </c>
      <c r="F25" s="55">
        <f t="shared" si="5"/>
        <v>56.138000000000005</v>
      </c>
      <c r="G25" s="55">
        <f t="shared" si="5"/>
        <v>68.445000000000007</v>
      </c>
      <c r="H25" s="55">
        <f t="shared" si="5"/>
        <v>69.695000000000007</v>
      </c>
    </row>
    <row r="26" spans="2:8" ht="15" customHeight="1" x14ac:dyDescent="0.2">
      <c r="B26" s="50" t="s">
        <v>94</v>
      </c>
      <c r="C26" s="51">
        <f t="shared" ref="C26:H26" si="6">C25*0.75</f>
        <v>19.200000000000003</v>
      </c>
      <c r="D26" s="51">
        <f t="shared" si="6"/>
        <v>26.086499999999994</v>
      </c>
      <c r="E26" s="51">
        <f t="shared" si="6"/>
        <v>33.708750000000002</v>
      </c>
      <c r="F26" s="51">
        <f t="shared" si="6"/>
        <v>42.103500000000004</v>
      </c>
      <c r="G26" s="51">
        <f t="shared" si="6"/>
        <v>51.333750000000009</v>
      </c>
      <c r="H26" s="51">
        <f t="shared" si="6"/>
        <v>52.271250000000009</v>
      </c>
    </row>
    <row r="28" spans="2:8" ht="15.75" customHeight="1" x14ac:dyDescent="0.2">
      <c r="B28" s="1" t="s">
        <v>95</v>
      </c>
      <c r="C28" s="1"/>
      <c r="D28" s="1"/>
      <c r="E28" s="1"/>
      <c r="F28" s="1"/>
      <c r="G28" s="1"/>
      <c r="H28" s="1"/>
    </row>
    <row r="29" spans="2:8" ht="15" customHeight="1" x14ac:dyDescent="0.2">
      <c r="B29" s="38" t="s">
        <v>69</v>
      </c>
      <c r="C29" s="8" t="s">
        <v>70</v>
      </c>
      <c r="D29" s="8" t="s">
        <v>71</v>
      </c>
      <c r="E29" s="8" t="s">
        <v>72</v>
      </c>
      <c r="F29" s="8" t="s">
        <v>73</v>
      </c>
      <c r="G29" s="8" t="s">
        <v>74</v>
      </c>
      <c r="H29" s="8" t="s">
        <v>75</v>
      </c>
    </row>
    <row r="30" spans="2:8" ht="15" customHeight="1" x14ac:dyDescent="0.2">
      <c r="B30" s="32" t="s">
        <v>96</v>
      </c>
      <c r="C30" s="56">
        <f t="shared" ref="C30:H30" si="7">C23/C9</f>
        <v>5.8697368421052634</v>
      </c>
      <c r="D30" s="56">
        <f t="shared" si="7"/>
        <v>5.1038811983229095</v>
      </c>
      <c r="E30" s="56">
        <f t="shared" si="7"/>
        <v>4.4451641211006869</v>
      </c>
      <c r="F30" s="56">
        <f t="shared" si="7"/>
        <v>3.8771851187808148</v>
      </c>
      <c r="G30" s="56">
        <f t="shared" si="7"/>
        <v>3.3863575538605644</v>
      </c>
      <c r="H30" s="56">
        <f t="shared" si="7"/>
        <v>3.2613996082353225</v>
      </c>
    </row>
    <row r="31" spans="2:8" ht="15" customHeight="1" x14ac:dyDescent="0.2">
      <c r="B31" s="34" t="s">
        <v>97</v>
      </c>
      <c r="C31" s="13">
        <f t="shared" ref="C31:H31" si="8">(C23-10)/C9</f>
        <v>5.7381578947368421</v>
      </c>
      <c r="D31" s="13">
        <f t="shared" si="8"/>
        <v>4.986765980371489</v>
      </c>
      <c r="E31" s="13">
        <f t="shared" si="8"/>
        <v>4.3406949290654184</v>
      </c>
      <c r="F31" s="13">
        <f t="shared" si="8"/>
        <v>3.7838039743015082</v>
      </c>
      <c r="G31" s="13">
        <f t="shared" si="8"/>
        <v>3.3027231366251839</v>
      </c>
      <c r="H31" s="13">
        <f t="shared" si="8"/>
        <v>3.1787488325577926</v>
      </c>
    </row>
    <row r="32" spans="2:8" ht="15" customHeight="1" x14ac:dyDescent="0.2">
      <c r="B32" s="32" t="s">
        <v>98</v>
      </c>
      <c r="C32" s="56">
        <f t="shared" ref="C32:H32" si="9">C9/C24</f>
        <v>2</v>
      </c>
      <c r="D32" s="56">
        <f t="shared" si="9"/>
        <v>2.2950757983012577</v>
      </c>
      <c r="E32" s="56">
        <f t="shared" si="9"/>
        <v>2.6313879649228911</v>
      </c>
      <c r="F32" s="56">
        <f t="shared" si="9"/>
        <v>3.0123206751054856</v>
      </c>
      <c r="G32" s="56">
        <f t="shared" si="9"/>
        <v>3.4434812660196412</v>
      </c>
      <c r="H32" s="56">
        <f t="shared" si="9"/>
        <v>3.5694772244512625</v>
      </c>
    </row>
    <row r="33" spans="2:8" ht="15" customHeight="1" x14ac:dyDescent="0.2">
      <c r="B33" s="34" t="s">
        <v>99</v>
      </c>
      <c r="C33" s="13">
        <f t="shared" ref="C33:H33" si="10">(C9-C11)/C24</f>
        <v>1.6736842105263159</v>
      </c>
      <c r="D33" s="13">
        <f t="shared" si="10"/>
        <v>1.9348994731749272</v>
      </c>
      <c r="E33" s="13">
        <f t="shared" si="10"/>
        <v>2.2355334414602632</v>
      </c>
      <c r="F33" s="13">
        <f t="shared" si="10"/>
        <v>2.5791279887482421</v>
      </c>
      <c r="G33" s="13">
        <f t="shared" si="10"/>
        <v>2.9711718457506553</v>
      </c>
      <c r="H33" s="13">
        <f t="shared" si="10"/>
        <v>3.0561423176776024</v>
      </c>
    </row>
    <row r="34" spans="2:8" ht="15" customHeight="1" x14ac:dyDescent="0.2">
      <c r="B34" s="57" t="s">
        <v>100</v>
      </c>
      <c r="C34" s="48">
        <v>5.5</v>
      </c>
      <c r="D34" s="48">
        <v>5</v>
      </c>
      <c r="E34" s="48">
        <v>4.5</v>
      </c>
      <c r="F34" s="48">
        <v>4</v>
      </c>
      <c r="G34" s="48">
        <v>3.5</v>
      </c>
      <c r="H34" s="48">
        <v>3.5</v>
      </c>
    </row>
  </sheetData>
  <mergeCells count="4">
    <mergeCell ref="B1:H1"/>
    <mergeCell ref="B3:H3"/>
    <mergeCell ref="B14:H14"/>
    <mergeCell ref="B28:H2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65"/>
  <sheetViews>
    <sheetView showGridLines="0" tabSelected="1" topLeftCell="B35" zoomScaleNormal="100" workbookViewId="0">
      <selection activeCell="C64" sqref="C64"/>
    </sheetView>
  </sheetViews>
  <sheetFormatPr baseColWidth="10" defaultColWidth="8.6640625" defaultRowHeight="15" x14ac:dyDescent="0.2"/>
  <cols>
    <col min="1" max="1" width="3" customWidth="1"/>
    <col min="2" max="2" width="30" customWidth="1"/>
    <col min="3" max="9" width="14" customWidth="1"/>
  </cols>
  <sheetData>
    <row r="1" spans="2:10" ht="15.75" customHeight="1" x14ac:dyDescent="0.2">
      <c r="B1" s="2" t="s">
        <v>101</v>
      </c>
      <c r="C1" s="2"/>
      <c r="D1" s="2"/>
      <c r="E1" s="2"/>
      <c r="F1" s="2"/>
      <c r="G1" s="2"/>
      <c r="H1" s="2"/>
      <c r="I1" s="2"/>
    </row>
    <row r="3" spans="2:10" ht="15.75" customHeight="1" x14ac:dyDescent="0.2">
      <c r="B3" s="1" t="s">
        <v>102</v>
      </c>
      <c r="C3" s="1"/>
      <c r="D3" s="1"/>
      <c r="E3" s="1"/>
      <c r="F3" s="1"/>
      <c r="G3" s="1"/>
      <c r="H3" s="1"/>
      <c r="I3" s="1"/>
    </row>
    <row r="4" spans="2:10" ht="15" customHeight="1" x14ac:dyDescent="0.2">
      <c r="B4" s="8" t="s">
        <v>103</v>
      </c>
      <c r="C4" s="8" t="s">
        <v>5</v>
      </c>
      <c r="D4" s="8" t="s">
        <v>104</v>
      </c>
      <c r="E4" s="8" t="s">
        <v>105</v>
      </c>
      <c r="F4" s="8" t="s">
        <v>106</v>
      </c>
    </row>
    <row r="5" spans="2:10" ht="15" customHeight="1" x14ac:dyDescent="0.2">
      <c r="B5" s="22" t="s">
        <v>107</v>
      </c>
      <c r="C5" s="15">
        <f>'Operating Model'!C5</f>
        <v>380</v>
      </c>
      <c r="D5" s="15">
        <f>'Operating Model'!F5</f>
        <v>465.6</v>
      </c>
      <c r="E5" s="15">
        <f>'Operating Model'!H5</f>
        <v>533</v>
      </c>
      <c r="F5" s="58">
        <f>ROUND('Operating Model'!C5*(('Operating Model'!H5/'Operating Model'!C5)^(1/5))^7,0)</f>
        <v>610</v>
      </c>
    </row>
    <row r="6" spans="2:10" ht="15" customHeight="1" x14ac:dyDescent="0.2">
      <c r="B6" s="24" t="s">
        <v>108</v>
      </c>
      <c r="C6" s="25">
        <f>'Operating Model'!C9</f>
        <v>76</v>
      </c>
      <c r="D6" s="25">
        <f>'Operating Model'!F9</f>
        <v>107.08800000000001</v>
      </c>
      <c r="E6" s="25">
        <f>'Operating Model'!H9</f>
        <v>120.991</v>
      </c>
      <c r="F6" s="59">
        <f>ROUND(F5*('Operating Model'!H9/'Operating Model'!H5),0)</f>
        <v>138</v>
      </c>
    </row>
    <row r="7" spans="2:10" ht="15" customHeight="1" x14ac:dyDescent="0.2">
      <c r="B7" s="22" t="s">
        <v>109</v>
      </c>
      <c r="C7" s="20">
        <f>C6/C5</f>
        <v>0.2</v>
      </c>
      <c r="D7" s="20">
        <f>D6/D5</f>
        <v>0.23</v>
      </c>
      <c r="E7" s="20">
        <f>E6/E5</f>
        <v>0.22700000000000001</v>
      </c>
      <c r="F7" s="20">
        <f>F6/F5</f>
        <v>0.2262295081967213</v>
      </c>
    </row>
    <row r="8" spans="2:10" ht="15" customHeight="1" x14ac:dyDescent="0.2">
      <c r="B8" s="24" t="s">
        <v>110</v>
      </c>
      <c r="C8" s="13">
        <f>'Transaction Assumptions'!C7</f>
        <v>10</v>
      </c>
      <c r="D8" s="13">
        <v>10</v>
      </c>
      <c r="E8" s="13">
        <f>'Transaction Assumptions'!C38</f>
        <v>10.5</v>
      </c>
      <c r="F8" s="13">
        <v>11</v>
      </c>
    </row>
    <row r="9" spans="2:10" ht="15" customHeight="1" x14ac:dyDescent="0.2">
      <c r="B9" s="22" t="s">
        <v>11</v>
      </c>
      <c r="C9" s="15">
        <f>'Transaction Assumptions'!C8</f>
        <v>760</v>
      </c>
      <c r="D9" s="15">
        <f>D6*D8</f>
        <v>1070.8800000000001</v>
      </c>
      <c r="E9" s="15">
        <f>'Transaction Assumptions'!C40</f>
        <v>1270.5</v>
      </c>
      <c r="F9" s="15">
        <f>F6*F8</f>
        <v>1518</v>
      </c>
    </row>
    <row r="10" spans="2:10" ht="15" customHeight="1" x14ac:dyDescent="0.2">
      <c r="B10" s="24" t="s">
        <v>111</v>
      </c>
      <c r="C10" s="60">
        <f>-'Operating Model'!C23</f>
        <v>-446.1</v>
      </c>
      <c r="D10" s="60">
        <f>-'Operating Model'!F23</f>
        <v>-415.19999999999993</v>
      </c>
      <c r="E10" s="60">
        <f>-'Operating Model'!H23</f>
        <v>-394.59999999999991</v>
      </c>
      <c r="F10" s="61">
        <f>-(MAX(0,'Operating Model'!H18-8*2)+MAX(0,'Operating Model'!H21-2.3*2)+'Operating Model'!H22)</f>
        <v>-373.99999999999994</v>
      </c>
    </row>
    <row r="11" spans="2:10" ht="15" customHeight="1" x14ac:dyDescent="0.2">
      <c r="B11" s="22" t="s">
        <v>112</v>
      </c>
      <c r="C11" s="62">
        <f>'Transaction Assumptions'!C22</f>
        <v>304</v>
      </c>
      <c r="D11" s="15">
        <f>D9-'Operating Model'!F23</f>
        <v>655.68000000000018</v>
      </c>
      <c r="E11" s="15">
        <f>E9-'Operating Model'!H23</f>
        <v>875.90000000000009</v>
      </c>
      <c r="F11" s="58">
        <f>F9+F10</f>
        <v>1144</v>
      </c>
    </row>
    <row r="12" spans="2:10" ht="15" customHeight="1" x14ac:dyDescent="0.2">
      <c r="B12" s="27" t="s">
        <v>18</v>
      </c>
      <c r="C12" s="63">
        <f>C11/'Transaction Assumptions'!C22</f>
        <v>1</v>
      </c>
      <c r="D12" s="63">
        <f>D11/'Transaction Assumptions'!C22</f>
        <v>2.1568421052631583</v>
      </c>
      <c r="E12" s="63">
        <f>E11/'Transaction Assumptions'!C22</f>
        <v>2.8812500000000001</v>
      </c>
      <c r="F12" s="63">
        <f>F11/'Transaction Assumptions'!C22</f>
        <v>3.763157894736842</v>
      </c>
    </row>
    <row r="13" spans="2:10" ht="15" customHeight="1" x14ac:dyDescent="0.2">
      <c r="B13" s="27" t="s">
        <v>113</v>
      </c>
      <c r="C13" s="31" t="s">
        <v>9</v>
      </c>
      <c r="D13" s="64">
        <f>XIRR(C53:D53,C54:D54)</f>
        <v>0.2917285501956941</v>
      </c>
      <c r="E13" s="64">
        <f>XIRR(C55:E55,C56:E56)</f>
        <v>0.2354226768016815</v>
      </c>
      <c r="F13" s="64">
        <f>XIRR(C57:F57,C58:F58)</f>
        <v>0.20825183987617493</v>
      </c>
    </row>
    <row r="16" spans="2:10" ht="15.75" customHeight="1" x14ac:dyDescent="0.2">
      <c r="B16" s="1" t="s">
        <v>114</v>
      </c>
      <c r="C16" s="1"/>
      <c r="D16" s="1"/>
      <c r="E16" s="1"/>
      <c r="F16" s="1"/>
      <c r="G16" s="1"/>
      <c r="H16" s="1"/>
      <c r="I16" s="1"/>
      <c r="J16" s="65" t="s">
        <v>115</v>
      </c>
    </row>
    <row r="17" spans="2:10" ht="15" customHeight="1" x14ac:dyDescent="0.2">
      <c r="B17" s="8" t="s">
        <v>116</v>
      </c>
      <c r="C17" s="66">
        <v>0.18</v>
      </c>
      <c r="D17" s="66">
        <v>0.2</v>
      </c>
      <c r="E17" s="66">
        <v>0.22</v>
      </c>
      <c r="F17" s="66">
        <v>0.24</v>
      </c>
      <c r="G17" s="66">
        <v>0.26</v>
      </c>
      <c r="H17" s="66">
        <v>0.28000000000000003</v>
      </c>
      <c r="I17" s="65" t="s">
        <v>117</v>
      </c>
    </row>
    <row r="18" spans="2:10" ht="15" customHeight="1" x14ac:dyDescent="0.2">
      <c r="B18" s="67">
        <v>8</v>
      </c>
      <c r="C18" s="68">
        <v>0.16252243902185401</v>
      </c>
      <c r="D18" s="68">
        <v>0.191733700411402</v>
      </c>
      <c r="E18" s="69">
        <v>0.21833338823738099</v>
      </c>
      <c r="F18" s="69">
        <v>0.24279450808681599</v>
      </c>
      <c r="G18" s="70">
        <v>0.26546888329189899</v>
      </c>
      <c r="H18" s="70">
        <v>0.28662578422831902</v>
      </c>
    </row>
    <row r="19" spans="2:10" ht="15" customHeight="1" x14ac:dyDescent="0.2">
      <c r="B19" s="67">
        <v>9</v>
      </c>
      <c r="C19" s="68">
        <v>0.19519032860447999</v>
      </c>
      <c r="D19" s="69">
        <v>0.224633708456</v>
      </c>
      <c r="E19" s="70">
        <v>0.251490818720781</v>
      </c>
      <c r="F19" s="70">
        <v>0.276222682597349</v>
      </c>
      <c r="G19" s="70">
        <v>0.29917391124419901</v>
      </c>
      <c r="H19" s="70">
        <v>0.32060932177974399</v>
      </c>
    </row>
    <row r="20" spans="2:10" ht="15" customHeight="1" x14ac:dyDescent="0.2">
      <c r="B20" s="67">
        <v>10</v>
      </c>
      <c r="C20" s="69">
        <v>0.224633708456</v>
      </c>
      <c r="D20" s="70">
        <v>0.254336610496948</v>
      </c>
      <c r="E20" s="70">
        <v>0.28146645919569002</v>
      </c>
      <c r="F20" s="70">
        <v>0.306476198578092</v>
      </c>
      <c r="G20" s="70">
        <v>0.32970570274350097</v>
      </c>
      <c r="H20" s="70">
        <v>0.351416970331977</v>
      </c>
    </row>
    <row r="21" spans="2:10" ht="15" customHeight="1" x14ac:dyDescent="0.2">
      <c r="B21" s="67">
        <v>11</v>
      </c>
      <c r="C21" s="70">
        <v>0.251490818720781</v>
      </c>
      <c r="D21" s="70">
        <v>0.28146645919569002</v>
      </c>
      <c r="E21" s="70">
        <v>0.30887441554072098</v>
      </c>
      <c r="F21" s="70">
        <v>0.33416211903237902</v>
      </c>
      <c r="G21" s="70">
        <v>0.35766633785864599</v>
      </c>
      <c r="H21" s="70">
        <v>0.37964732999518602</v>
      </c>
    </row>
    <row r="22" spans="2:10" ht="15" customHeight="1" x14ac:dyDescent="0.2">
      <c r="B22" s="67">
        <v>12</v>
      </c>
      <c r="C22" s="70">
        <v>0.276222682597349</v>
      </c>
      <c r="D22" s="70">
        <v>0.306476198578092</v>
      </c>
      <c r="E22" s="70">
        <v>0.33416211903237902</v>
      </c>
      <c r="F22" s="70">
        <v>0.35972412377594098</v>
      </c>
      <c r="G22" s="70">
        <v>0.38349699471232002</v>
      </c>
      <c r="H22" s="70">
        <v>0.40573998786068699</v>
      </c>
    </row>
    <row r="23" spans="2:10" ht="15" customHeight="1" x14ac:dyDescent="0.2">
      <c r="B23" s="67">
        <v>13</v>
      </c>
      <c r="C23" s="70">
        <v>0.29917391124419901</v>
      </c>
      <c r="D23" s="70">
        <v>0.32970570274350097</v>
      </c>
      <c r="E23" s="70">
        <v>0.35766633785864599</v>
      </c>
      <c r="F23" s="70">
        <v>0.38349699471232002</v>
      </c>
      <c r="G23" s="70">
        <v>0.40753126214554303</v>
      </c>
      <c r="H23" s="70">
        <v>0.43002791591199102</v>
      </c>
    </row>
    <row r="26" spans="2:10" ht="15.75" customHeight="1" x14ac:dyDescent="0.2">
      <c r="B26" s="1" t="s">
        <v>118</v>
      </c>
      <c r="C26" s="1"/>
      <c r="D26" s="1"/>
      <c r="E26" s="1"/>
      <c r="F26" s="1"/>
      <c r="G26" s="1"/>
      <c r="H26" s="1"/>
      <c r="I26" s="1"/>
      <c r="J26" s="65" t="s">
        <v>119</v>
      </c>
    </row>
    <row r="27" spans="2:10" ht="15" customHeight="1" x14ac:dyDescent="0.2">
      <c r="B27" s="8" t="s">
        <v>120</v>
      </c>
      <c r="C27" s="8" t="s">
        <v>121</v>
      </c>
      <c r="D27" s="8" t="s">
        <v>122</v>
      </c>
      <c r="E27" s="8" t="s">
        <v>123</v>
      </c>
      <c r="F27" s="8" t="s">
        <v>124</v>
      </c>
      <c r="G27" s="8" t="s">
        <v>125</v>
      </c>
    </row>
    <row r="28" spans="2:10" ht="15" customHeight="1" x14ac:dyDescent="0.2">
      <c r="B28" s="67">
        <v>7</v>
      </c>
      <c r="C28" s="71">
        <v>1.32797850085526</v>
      </c>
      <c r="D28" s="72">
        <v>1.62988436433618</v>
      </c>
      <c r="E28" s="72">
        <v>1.94371311194498</v>
      </c>
      <c r="F28" s="73">
        <v>2.2702993455706002</v>
      </c>
      <c r="G28" s="74">
        <v>2.61053608923423</v>
      </c>
    </row>
    <row r="29" spans="2:10" ht="15" customHeight="1" x14ac:dyDescent="0.2">
      <c r="B29" s="67">
        <v>8.5</v>
      </c>
      <c r="C29" s="72">
        <v>1.84938742773026</v>
      </c>
      <c r="D29" s="73">
        <v>2.1877919160924399</v>
      </c>
      <c r="E29" s="74">
        <v>2.54067419232417</v>
      </c>
      <c r="F29" s="74">
        <v>2.9090477015763399</v>
      </c>
      <c r="G29" s="75">
        <v>3.2939968301603599</v>
      </c>
    </row>
    <row r="30" spans="2:10" ht="15" customHeight="1" x14ac:dyDescent="0.2">
      <c r="B30" s="67">
        <v>10</v>
      </c>
      <c r="C30" s="73">
        <v>2.3707963546052602</v>
      </c>
      <c r="D30" s="74">
        <v>2.7456994678486901</v>
      </c>
      <c r="E30" s="75">
        <v>3.1376352727033598</v>
      </c>
      <c r="F30" s="75">
        <v>3.5477960575820702</v>
      </c>
      <c r="G30" s="75">
        <v>3.9774575710864899</v>
      </c>
    </row>
    <row r="31" spans="2:10" ht="15" customHeight="1" x14ac:dyDescent="0.2">
      <c r="B31" s="67">
        <v>11.5</v>
      </c>
      <c r="C31" s="74">
        <v>2.8922052814802601</v>
      </c>
      <c r="D31" s="75">
        <v>3.3036070196049399</v>
      </c>
      <c r="E31" s="75">
        <v>3.7345963530825399</v>
      </c>
      <c r="F31" s="75">
        <v>4.1865444135878001</v>
      </c>
      <c r="G31" s="75">
        <v>4.6609183120126296</v>
      </c>
    </row>
    <row r="32" spans="2:10" ht="15" customHeight="1" x14ac:dyDescent="0.2">
      <c r="B32" s="67">
        <v>13</v>
      </c>
      <c r="C32" s="75">
        <v>3.4136142083552601</v>
      </c>
      <c r="D32" s="75">
        <v>3.86151457136119</v>
      </c>
      <c r="E32" s="75">
        <v>4.3315574334617297</v>
      </c>
      <c r="F32" s="75">
        <v>4.8252927695935304</v>
      </c>
      <c r="G32" s="75">
        <v>5.34437905293876</v>
      </c>
    </row>
    <row r="35" spans="2:9" ht="15.75" customHeight="1" x14ac:dyDescent="0.2">
      <c r="B35" s="1" t="s">
        <v>126</v>
      </c>
      <c r="C35" s="1"/>
      <c r="D35" s="1"/>
      <c r="E35" s="1"/>
      <c r="F35" s="1"/>
      <c r="G35" s="1"/>
      <c r="H35" s="1"/>
      <c r="I35" s="1"/>
    </row>
    <row r="36" spans="2:9" ht="15" customHeight="1" x14ac:dyDescent="0.2">
      <c r="B36" s="8" t="s">
        <v>103</v>
      </c>
      <c r="C36" s="8" t="s">
        <v>127</v>
      </c>
      <c r="E36" s="8" t="s">
        <v>128</v>
      </c>
      <c r="G36" s="8" t="s">
        <v>129</v>
      </c>
    </row>
    <row r="37" spans="2:9" ht="15" customHeight="1" x14ac:dyDescent="0.2">
      <c r="B37" s="32" t="s">
        <v>130</v>
      </c>
      <c r="C37" s="76">
        <v>0.04</v>
      </c>
      <c r="D37" s="77"/>
      <c r="E37" s="78">
        <v>7.0000000000000007E-2</v>
      </c>
      <c r="F37" s="79"/>
      <c r="G37" s="80">
        <v>0.1</v>
      </c>
      <c r="H37" s="81"/>
    </row>
    <row r="38" spans="2:9" ht="15" customHeight="1" x14ac:dyDescent="0.2">
      <c r="B38" s="34" t="s">
        <v>131</v>
      </c>
      <c r="C38" s="76">
        <v>0.18</v>
      </c>
      <c r="D38" s="77"/>
      <c r="E38" s="82">
        <v>0.22700000000000001</v>
      </c>
      <c r="F38" s="79"/>
      <c r="G38" s="80">
        <v>0.28000000000000003</v>
      </c>
      <c r="H38" s="81"/>
    </row>
    <row r="39" spans="2:9" ht="15" customHeight="1" x14ac:dyDescent="0.2">
      <c r="B39" s="32" t="s">
        <v>132</v>
      </c>
      <c r="C39" s="83">
        <v>8</v>
      </c>
      <c r="D39" s="77"/>
      <c r="E39" s="84">
        <v>10.5</v>
      </c>
      <c r="F39" s="79"/>
      <c r="G39" s="85">
        <v>13</v>
      </c>
      <c r="H39" s="81"/>
    </row>
    <row r="40" spans="2:9" ht="15" customHeight="1" x14ac:dyDescent="0.2">
      <c r="B40" s="34" t="s">
        <v>66</v>
      </c>
      <c r="C40" s="86">
        <f>ROUND('Transaction Assumptions'!C4*(1+C37)^5*C38*C39-'Operating Model'!H23,0)</f>
        <v>271</v>
      </c>
      <c r="D40" s="77"/>
      <c r="E40" s="87">
        <f>ROUND('Transaction Assumptions'!C4*(1+E37)^5*E38*E39-'Operating Model'!H23,0)</f>
        <v>876</v>
      </c>
      <c r="F40" s="79"/>
      <c r="G40" s="88">
        <f>ROUND('Transaction Assumptions'!C4*(1+G37)^5*G38*G39,0)</f>
        <v>2228</v>
      </c>
      <c r="H40" s="81"/>
    </row>
    <row r="41" spans="2:9" ht="15" customHeight="1" x14ac:dyDescent="0.2">
      <c r="B41" s="32" t="s">
        <v>133</v>
      </c>
      <c r="C41" s="89">
        <f>C40/'Transaction Assumptions'!C22</f>
        <v>0.89144736842105265</v>
      </c>
      <c r="D41" s="77"/>
      <c r="E41" s="90">
        <f>E40/'Transaction Assumptions'!C22</f>
        <v>2.8815789473684212</v>
      </c>
      <c r="F41" s="79"/>
      <c r="G41" s="91">
        <f>G40/'Transaction Assumptions'!C22</f>
        <v>7.3289473684210522</v>
      </c>
      <c r="H41" s="81"/>
    </row>
    <row r="42" spans="2:9" ht="15" customHeight="1" x14ac:dyDescent="0.2">
      <c r="B42" s="34" t="s">
        <v>134</v>
      </c>
      <c r="C42" s="92">
        <f>XIRR(C62:C63,C64:C65)</f>
        <v>-2.2695121169090279E-2</v>
      </c>
      <c r="D42" s="77"/>
      <c r="E42" s="93">
        <f>XIRR(E62:E63,E64:E65)</f>
        <v>0.23545085787773132</v>
      </c>
      <c r="F42" s="79"/>
      <c r="G42" s="94">
        <f>XIRR(G62:G63,G64:G65)</f>
        <v>0.48874024748802181</v>
      </c>
      <c r="H42" s="81"/>
    </row>
    <row r="45" spans="2:9" ht="15" customHeight="1" x14ac:dyDescent="0.2">
      <c r="B45" s="95" t="s">
        <v>135</v>
      </c>
    </row>
    <row r="46" spans="2:9" ht="15" customHeight="1" x14ac:dyDescent="0.2">
      <c r="B46" s="96" t="s">
        <v>136</v>
      </c>
      <c r="C46" s="96" t="s">
        <v>5</v>
      </c>
      <c r="D46" s="96" t="s">
        <v>104</v>
      </c>
      <c r="E46" s="96" t="s">
        <v>105</v>
      </c>
      <c r="F46" s="96" t="s">
        <v>106</v>
      </c>
    </row>
    <row r="47" spans="2:9" ht="15" customHeight="1" x14ac:dyDescent="0.2">
      <c r="B47" t="s">
        <v>137</v>
      </c>
      <c r="C47" s="97">
        <f>DATE(2024,1,1)</f>
        <v>45292</v>
      </c>
      <c r="D47" s="97">
        <f>DATE(2027,1,1)</f>
        <v>46388</v>
      </c>
      <c r="E47" s="97">
        <f>DATE(2029,1,1)</f>
        <v>47119</v>
      </c>
      <c r="F47" s="97">
        <f>DATE(2031,1,1)</f>
        <v>47849</v>
      </c>
    </row>
    <row r="48" spans="2:9" ht="15" customHeight="1" x14ac:dyDescent="0.2">
      <c r="B48" t="s">
        <v>138</v>
      </c>
      <c r="C48" s="98">
        <f>-'Transaction Assumptions'!C22</f>
        <v>-304</v>
      </c>
      <c r="D48" s="99">
        <f>C48</f>
        <v>-304</v>
      </c>
      <c r="E48" s="99">
        <f>C48</f>
        <v>-304</v>
      </c>
      <c r="F48" s="99">
        <f>C48</f>
        <v>-304</v>
      </c>
    </row>
    <row r="49" spans="2:7" ht="15" customHeight="1" x14ac:dyDescent="0.2">
      <c r="B49" t="s">
        <v>139</v>
      </c>
      <c r="C49" s="100">
        <v>0</v>
      </c>
      <c r="D49" s="99">
        <f>D11</f>
        <v>655.68000000000018</v>
      </c>
      <c r="E49" s="99">
        <f>E11</f>
        <v>875.90000000000009</v>
      </c>
      <c r="F49" s="99">
        <f>F11</f>
        <v>1144</v>
      </c>
    </row>
    <row r="50" spans="2:7" ht="15" customHeight="1" x14ac:dyDescent="0.2">
      <c r="B50" t="s">
        <v>140</v>
      </c>
      <c r="C50" s="99">
        <f>C48+C49</f>
        <v>-304</v>
      </c>
      <c r="D50" s="99">
        <f>D48+D49</f>
        <v>351.68000000000018</v>
      </c>
      <c r="E50" s="99">
        <f>E48+E49</f>
        <v>571.90000000000009</v>
      </c>
      <c r="F50" s="99">
        <f>F48+F49</f>
        <v>840</v>
      </c>
    </row>
    <row r="53" spans="2:7" ht="15" customHeight="1" x14ac:dyDescent="0.2">
      <c r="B53" t="s">
        <v>141</v>
      </c>
      <c r="C53" s="99">
        <f>C48</f>
        <v>-304</v>
      </c>
      <c r="D53" s="99">
        <f>D49</f>
        <v>655.68000000000018</v>
      </c>
    </row>
    <row r="54" spans="2:7" ht="15" customHeight="1" x14ac:dyDescent="0.2">
      <c r="B54" t="s">
        <v>142</v>
      </c>
      <c r="C54" s="101">
        <f>C47</f>
        <v>45292</v>
      </c>
      <c r="D54" s="101">
        <f>D47</f>
        <v>46388</v>
      </c>
    </row>
    <row r="55" spans="2:7" ht="15" customHeight="1" x14ac:dyDescent="0.2">
      <c r="B55" t="s">
        <v>143</v>
      </c>
      <c r="C55" s="99">
        <f>C48</f>
        <v>-304</v>
      </c>
      <c r="E55" s="99">
        <f>E49</f>
        <v>875.90000000000009</v>
      </c>
    </row>
    <row r="56" spans="2:7" ht="15" customHeight="1" x14ac:dyDescent="0.2">
      <c r="B56" t="s">
        <v>144</v>
      </c>
      <c r="C56" s="101">
        <f>C47</f>
        <v>45292</v>
      </c>
      <c r="E56" s="101">
        <f>E47</f>
        <v>47119</v>
      </c>
    </row>
    <row r="57" spans="2:7" ht="15" customHeight="1" x14ac:dyDescent="0.2">
      <c r="B57" t="s">
        <v>145</v>
      </c>
      <c r="C57" s="99">
        <f>C48</f>
        <v>-304</v>
      </c>
      <c r="F57" s="99">
        <f>F49</f>
        <v>1144</v>
      </c>
    </row>
    <row r="58" spans="2:7" ht="15" customHeight="1" x14ac:dyDescent="0.2">
      <c r="B58" t="s">
        <v>146</v>
      </c>
      <c r="C58" s="101">
        <f>C47</f>
        <v>45292</v>
      </c>
      <c r="F58" s="101">
        <f>F47</f>
        <v>47849</v>
      </c>
    </row>
    <row r="60" spans="2:7" ht="15" customHeight="1" x14ac:dyDescent="0.2">
      <c r="B60" s="95" t="s">
        <v>147</v>
      </c>
    </row>
    <row r="61" spans="2:7" ht="15" customHeight="1" x14ac:dyDescent="0.2">
      <c r="B61" s="96" t="s">
        <v>136</v>
      </c>
      <c r="C61" s="96" t="s">
        <v>127</v>
      </c>
      <c r="E61" s="96" t="s">
        <v>128</v>
      </c>
      <c r="G61" s="96" t="s">
        <v>129</v>
      </c>
    </row>
    <row r="62" spans="2:7" ht="15" customHeight="1" x14ac:dyDescent="0.2">
      <c r="B62" t="s">
        <v>148</v>
      </c>
      <c r="C62" s="99">
        <f>C48</f>
        <v>-304</v>
      </c>
      <c r="E62" s="99">
        <f>C48</f>
        <v>-304</v>
      </c>
      <c r="G62" s="99">
        <f>C48</f>
        <v>-304</v>
      </c>
    </row>
    <row r="63" spans="2:7" ht="15" customHeight="1" x14ac:dyDescent="0.2">
      <c r="B63" t="s">
        <v>149</v>
      </c>
      <c r="C63" s="99">
        <f>C40</f>
        <v>271</v>
      </c>
      <c r="E63" s="99">
        <f>E40</f>
        <v>876</v>
      </c>
      <c r="G63" s="99">
        <f>G40</f>
        <v>2228</v>
      </c>
    </row>
    <row r="64" spans="2:7" ht="15" customHeight="1" x14ac:dyDescent="0.2">
      <c r="B64" t="s">
        <v>150</v>
      </c>
      <c r="C64" s="101">
        <f>C47</f>
        <v>45292</v>
      </c>
      <c r="E64" s="101">
        <f>C47</f>
        <v>45292</v>
      </c>
      <c r="G64" s="101">
        <f>C47</f>
        <v>45292</v>
      </c>
    </row>
    <row r="65" spans="2:7" ht="15" customHeight="1" x14ac:dyDescent="0.2">
      <c r="B65" t="s">
        <v>151</v>
      </c>
      <c r="C65" s="97">
        <f>DATE(2024+5,1,1)</f>
        <v>47119</v>
      </c>
      <c r="E65" s="97">
        <f>DATE(2024+5,1,1)</f>
        <v>47119</v>
      </c>
      <c r="G65" s="97">
        <f>DATE(2024+5,1,1)</f>
        <v>47119</v>
      </c>
    </row>
  </sheetData>
  <mergeCells count="5">
    <mergeCell ref="B1:I1"/>
    <mergeCell ref="B3:I3"/>
    <mergeCell ref="B16:I16"/>
    <mergeCell ref="B26:I26"/>
    <mergeCell ref="B35:I3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Transaction Assumptions</vt:lpstr>
      <vt:lpstr>Operating Model</vt:lpstr>
      <vt:lpstr>Returns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Nelson Olawoyin</cp:lastModifiedBy>
  <cp:revision>0</cp:revision>
  <dcterms:created xsi:type="dcterms:W3CDTF">2026-03-17T00:09:09Z</dcterms:created>
  <dcterms:modified xsi:type="dcterms:W3CDTF">2026-05-08T00:54:47Z</dcterms:modified>
  <dc:language>en-US</dc:language>
</cp:coreProperties>
</file>