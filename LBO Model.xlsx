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ransaction Assumptions" sheetId="2" state="visible" r:id="rId4"/>
    <sheet name="Operating Model" sheetId="3" state="visible" r:id="rId5"/>
    <sheet name="Returns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<sst xmlns="http://schemas.openxmlformats.org/spreadsheetml/2006/main" count="258" uniqueCount="193">
  <si>
    <t xml:space="preserve">APEX INDUSTRIAL SOLUTIONS</t>
  </si>
  <si>
    <t xml:space="preserve">Leveraged Buyout (LBO) Analysis | Private Equity Acquisition Model</t>
  </si>
  <si>
    <t xml:space="preserve">Industrial Manufacturing &amp; Distribution | Revenue: $380mm | EBITDA: $76mm</t>
  </si>
  <si>
    <t xml:space="preserve">TRANSACTION OVERVIEW</t>
  </si>
  <si>
    <t xml:space="preserve">Parameter</t>
  </si>
  <si>
    <t xml:space="preserve">Entry (2024)</t>
  </si>
  <si>
    <t xml:space="preserve">Exit (2029E)</t>
  </si>
  <si>
    <t xml:space="preserve">Delta</t>
  </si>
  <si>
    <t xml:space="preserve">Entry EBITDA ($mm)</t>
  </si>
  <si>
    <t xml:space="preserve">$76.0</t>
  </si>
  <si>
    <t xml:space="preserve">—</t>
  </si>
  <si>
    <t xml:space="preserve">Entry EV/EBITDA Multiple</t>
  </si>
  <si>
    <t xml:space="preserve">10.0x</t>
  </si>
  <si>
    <t xml:space="preserve">Enterprise Value ($mm)</t>
  </si>
  <si>
    <t xml:space="preserve">$760</t>
  </si>
  <si>
    <t xml:space="preserve">$1,276</t>
  </si>
  <si>
    <t xml:space="preserve">+$516mm</t>
  </si>
  <si>
    <t xml:space="preserve">Exit EBITDA Multiple</t>
  </si>
  <si>
    <t xml:space="preserve">10.5x</t>
  </si>
  <si>
    <t xml:space="preserve">+0.5x</t>
  </si>
  <si>
    <t xml:space="preserve">Exit EBITDA ($mm)</t>
  </si>
  <si>
    <t xml:space="preserve">$121mm</t>
  </si>
  <si>
    <t xml:space="preserve">Total Equity Investment ($mm)</t>
  </si>
  <si>
    <t xml:space="preserve">$304</t>
  </si>
  <si>
    <t xml:space="preserve">Equity Proceeds ($mm)</t>
  </si>
  <si>
    <t xml:space="preserve">$638</t>
  </si>
  <si>
    <t xml:space="preserve">Money-on-Money (MoM)</t>
  </si>
  <si>
    <t xml:space="preserve">2.1x</t>
  </si>
  <si>
    <t xml:space="preserve">IRR (5-year Hold)</t>
  </si>
  <si>
    <t xml:space="preserve">16.1%</t>
  </si>
  <si>
    <t xml:space="preserve">IRR (3-year Hold)</t>
  </si>
  <si>
    <t xml:space="preserve">22.4%</t>
  </si>
  <si>
    <t xml:space="preserve">CAPITAL STRUCTURE</t>
  </si>
  <si>
    <t xml:space="preserve">Tranche</t>
  </si>
  <si>
    <t xml:space="preserve">Amount ($mm)</t>
  </si>
  <si>
    <t xml:space="preserve">% of Total</t>
  </si>
  <si>
    <t xml:space="preserve">Pricing</t>
  </si>
  <si>
    <t xml:space="preserve">Revolving Credit Facility</t>
  </si>
  <si>
    <t xml:space="preserve">$0</t>
  </si>
  <si>
    <t xml:space="preserve">0%</t>
  </si>
  <si>
    <t xml:space="preserve">SOFR+200bps</t>
  </si>
  <si>
    <t xml:space="preserve">Term Loan A (TLA)</t>
  </si>
  <si>
    <t xml:space="preserve">$152</t>
  </si>
  <si>
    <t xml:space="preserve">20%</t>
  </si>
  <si>
    <t xml:space="preserve">SOFR+225bps</t>
  </si>
  <si>
    <t xml:space="preserve">Term Loan B (TLB)</t>
  </si>
  <si>
    <t xml:space="preserve">$228</t>
  </si>
  <si>
    <t xml:space="preserve">30%</t>
  </si>
  <si>
    <t xml:space="preserve">SOFR+350bps</t>
  </si>
  <si>
    <t xml:space="preserve">Senior Notes</t>
  </si>
  <si>
    <t xml:space="preserve">$76</t>
  </si>
  <si>
    <t xml:space="preserve">10%</t>
  </si>
  <si>
    <t xml:space="preserve">7.50% Fixed</t>
  </si>
  <si>
    <t xml:space="preserve">Total Debt</t>
  </si>
  <si>
    <t xml:space="preserve">$456</t>
  </si>
  <si>
    <t xml:space="preserve">60%</t>
  </si>
  <si>
    <t xml:space="preserve">~6.2% Blended</t>
  </si>
  <si>
    <t xml:space="preserve">Sponsor Equity</t>
  </si>
  <si>
    <t xml:space="preserve">40%</t>
  </si>
  <si>
    <t xml:space="preserve">Total Capitalization</t>
  </si>
  <si>
    <t xml:space="preserve">100%</t>
  </si>
  <si>
    <t xml:space="preserve">APEX INDUSTRIAL — TRANSACTION ASSUMPTIONS</t>
  </si>
  <si>
    <t xml:space="preserve">ENTRY ASSUMPTIONS</t>
  </si>
  <si>
    <t xml:space="preserve">LTM Revenue ($mm)</t>
  </si>
  <si>
    <t xml:space="preserve">LTM EBITDA ($mm)</t>
  </si>
  <si>
    <t xml:space="preserve">LTM EBITDA Margin</t>
  </si>
  <si>
    <t xml:space="preserve">Net Debt at Close ($mm)</t>
  </si>
  <si>
    <t xml:space="preserve">Equity Value at Entry ($mm)</t>
  </si>
  <si>
    <t xml:space="preserve">Transaction Fees ($mm)</t>
  </si>
  <si>
    <t xml:space="preserve">Total Uses of Cash ($mm)</t>
  </si>
  <si>
    <t xml:space="preserve">SOURCES &amp; USES OF CAPITAL</t>
  </si>
  <si>
    <t xml:space="preserve">Component</t>
  </si>
  <si>
    <t xml:space="preserve">Term Loan A</t>
  </si>
  <si>
    <t xml:space="preserve">Term Loan B</t>
  </si>
  <si>
    <t xml:space="preserve">Management Rollover</t>
  </si>
  <si>
    <t xml:space="preserve">Total Sources</t>
  </si>
  <si>
    <t xml:space="preserve">DEBT PRICING &amp; AMORTIZATION ASSUMPTIONS</t>
  </si>
  <si>
    <t xml:space="preserve">Term Loan A — Rate (SOFR + 225bps)</t>
  </si>
  <si>
    <t xml:space="preserve">Term Loan B — Rate (SOFR + 350bps)</t>
  </si>
  <si>
    <t xml:space="preserve">Senior Notes — Rate (Fixed)</t>
  </si>
  <si>
    <t xml:space="preserve">TLA Annual Amortization</t>
  </si>
  <si>
    <t xml:space="preserve">TLB Annual Amortization</t>
  </si>
  <si>
    <t xml:space="preserve">Cash Sweep % (excess CF)</t>
  </si>
  <si>
    <t xml:space="preserve">EXIT ASSUMPTIONS</t>
  </si>
  <si>
    <t xml:space="preserve">Exit Year</t>
  </si>
  <si>
    <t xml:space="preserve">Hold Period (years)</t>
  </si>
  <si>
    <t xml:space="preserve">Exit Enterprise Value ($mm)</t>
  </si>
  <si>
    <t xml:space="preserve">Estimated Exit Net Debt ($mm)</t>
  </si>
  <si>
    <t xml:space="preserve">Exit Equity Value ($mm)</t>
  </si>
  <si>
    <t xml:space="preserve">APEX INDUSTRIAL — OPERATING MODEL (POST-ACQUISITION)</t>
  </si>
  <si>
    <t xml:space="preserve">INCOME STATEMENT ($mm)</t>
  </si>
  <si>
    <t xml:space="preserve">Line Item</t>
  </si>
  <si>
    <t xml:space="preserve">FY2024A</t>
  </si>
  <si>
    <t xml:space="preserve">FY2025E</t>
  </si>
  <si>
    <t xml:space="preserve">FY2026E</t>
  </si>
  <si>
    <t xml:space="preserve">FY2027E</t>
  </si>
  <si>
    <t xml:space="preserve">FY2028E</t>
  </si>
  <si>
    <t xml:space="preserve">FY2029E</t>
  </si>
  <si>
    <t xml:space="preserve">Revenue</t>
  </si>
  <si>
    <t xml:space="preserve">  YoY Growth</t>
  </si>
  <si>
    <t xml:space="preserve">N/A</t>
  </si>
  <si>
    <t xml:space="preserve">Gross Profit</t>
  </si>
  <si>
    <t xml:space="preserve">  Gross Margin %</t>
  </si>
  <si>
    <t xml:space="preserve">EBITDA</t>
  </si>
  <si>
    <t xml:space="preserve">  EBITDA Margin %</t>
  </si>
  <si>
    <t xml:space="preserve">Depreciation &amp; Amortization</t>
  </si>
  <si>
    <t xml:space="preserve">EBIT</t>
  </si>
  <si>
    <t xml:space="preserve">DEBT SCHEDULE ($mm)</t>
  </si>
  <si>
    <t xml:space="preserve">TLA — Beginning Balance</t>
  </si>
  <si>
    <t xml:space="preserve">  TLA Mandatory Amortization</t>
  </si>
  <si>
    <t xml:space="preserve">TLA — Ending Balance</t>
  </si>
  <si>
    <t xml:space="preserve">TLB — Beginning Balance</t>
  </si>
  <si>
    <t xml:space="preserve">  TLB Mandatory Amortization</t>
  </si>
  <si>
    <t xml:space="preserve">TLB — Ending Balance</t>
  </si>
  <si>
    <t xml:space="preserve">Total Debt (Ending)</t>
  </si>
  <si>
    <t xml:space="preserve">Total Interest Expense</t>
  </si>
  <si>
    <t xml:space="preserve">Pre-Tax Income</t>
  </si>
  <si>
    <t xml:space="preserve">Net Income (after 25% tax)</t>
  </si>
  <si>
    <t xml:space="preserve">CREDIT STATISTICS &amp; COVENANTS</t>
  </si>
  <si>
    <t xml:space="preserve">Total Debt / EBITDA</t>
  </si>
  <si>
    <t xml:space="preserve">Net Debt / EBITDA</t>
  </si>
  <si>
    <t xml:space="preserve">EBITDA / Interest (Coverage)</t>
  </si>
  <si>
    <t xml:space="preserve">Fixed Charge Coverage Ratio</t>
  </si>
  <si>
    <t xml:space="preserve">Debt Covenant (Max Net Lev)</t>
  </si>
  <si>
    <t xml:space="preserve">APEX INDUSTRIAL — LBO RETURNS ANALYSIS</t>
  </si>
  <si>
    <t xml:space="preserve">BASE CASE RETURNS SUMMARY (5-YEAR HOLD)</t>
  </si>
  <si>
    <t xml:space="preserve">Metric</t>
  </si>
  <si>
    <t xml:space="preserve">Year 3 (2027)</t>
  </si>
  <si>
    <t xml:space="preserve">Year 5 (2029)</t>
  </si>
  <si>
    <t xml:space="preserve">Year 7 (2031)</t>
  </si>
  <si>
    <t xml:space="preserve">Revenue ($mm)</t>
  </si>
  <si>
    <t xml:space="preserve">$380</t>
  </si>
  <si>
    <t xml:space="preserve">$466</t>
  </si>
  <si>
    <t xml:space="preserve">$533</t>
  </si>
  <si>
    <t xml:space="preserve">$655</t>
  </si>
  <si>
    <t xml:space="preserve">EBITDA ($mm)</t>
  </si>
  <si>
    <t xml:space="preserve">$107</t>
  </si>
  <si>
    <t xml:space="preserve">$121</t>
  </si>
  <si>
    <t xml:space="preserve">$148</t>
  </si>
  <si>
    <t xml:space="preserve">EBITDA Margin</t>
  </si>
  <si>
    <t xml:space="preserve">20.0%</t>
  </si>
  <si>
    <t xml:space="preserve">23.0%</t>
  </si>
  <si>
    <t xml:space="preserve">22.7%</t>
  </si>
  <si>
    <t xml:space="preserve">22.6%</t>
  </si>
  <si>
    <t xml:space="preserve">EV/EBITDA Exit Multiple</t>
  </si>
  <si>
    <t xml:space="preserve">11.0x</t>
  </si>
  <si>
    <t xml:space="preserve">$1,074</t>
  </si>
  <si>
    <t xml:space="preserve">$1,632</t>
  </si>
  <si>
    <t xml:space="preserve">Less: Net Debt ($mm)</t>
  </si>
  <si>
    <t xml:space="preserve">($456)</t>
  </si>
  <si>
    <t xml:space="preserve">($310)</t>
  </si>
  <si>
    <t xml:space="preserve">($122)</t>
  </si>
  <si>
    <t xml:space="preserve">Equity Value ($mm)</t>
  </si>
  <si>
    <t xml:space="preserve">$764</t>
  </si>
  <si>
    <t xml:space="preserve">$1,154</t>
  </si>
  <si>
    <t xml:space="preserve">1.0x</t>
  </si>
  <si>
    <t xml:space="preserve">2.5x</t>
  </si>
  <si>
    <t xml:space="preserve">3.8x</t>
  </si>
  <si>
    <t xml:space="preserve">5.4x</t>
  </si>
  <si>
    <t xml:space="preserve">IRR (from Entry)</t>
  </si>
  <si>
    <t xml:space="preserve">36.0%</t>
  </si>
  <si>
    <t xml:space="preserve">30.4%</t>
  </si>
  <si>
    <t xml:space="preserve">27.2%</t>
  </si>
  <si>
    <t xml:space="preserve">IRR SENSITIVITY: EXIT MULTIPLE vs. EBITDA MARGIN (5-YEAR HOLD)</t>
  </si>
  <si>
    <t xml:space="preserve">Exit Multiple \ EBITDA Margin</t>
  </si>
  <si>
    <t xml:space="preserve">MoM SENSITIVITY: EXIT MULTIPLE vs. HOLD PERIOD</t>
  </si>
  <si>
    <t xml:space="preserve">Exit Multiple \ Hold Period</t>
  </si>
  <si>
    <t xml:space="preserve">3 Years</t>
  </si>
  <si>
    <t xml:space="preserve">4 Years</t>
  </si>
  <si>
    <t xml:space="preserve">5 Years</t>
  </si>
  <si>
    <t xml:space="preserve">6 Years</t>
  </si>
  <si>
    <t xml:space="preserve">7 Years</t>
  </si>
  <si>
    <t xml:space="preserve">SCENARIO ANALYSIS: BEAR / BASE / BULL CASE</t>
  </si>
  <si>
    <t xml:space="preserve">Bear Case</t>
  </si>
  <si>
    <t xml:space="preserve">Base Case</t>
  </si>
  <si>
    <t xml:space="preserve">Bull Case</t>
  </si>
  <si>
    <t xml:space="preserve">Revenue CAGR</t>
  </si>
  <si>
    <t xml:space="preserve">4%</t>
  </si>
  <si>
    <t xml:space="preserve">7%</t>
  </si>
  <si>
    <t xml:space="preserve">Exit EBITDA Margin</t>
  </si>
  <si>
    <t xml:space="preserve">18%</t>
  </si>
  <si>
    <t xml:space="preserve">28%</t>
  </si>
  <si>
    <t xml:space="preserve">Exit EV/EBITDA</t>
  </si>
  <si>
    <t xml:space="preserve">8.0x</t>
  </si>
  <si>
    <t xml:space="preserve">13.0x</t>
  </si>
  <si>
    <t xml:space="preserve">$512</t>
  </si>
  <si>
    <t xml:space="preserve">$2,142</t>
  </si>
  <si>
    <t xml:space="preserve">Money-on-Money</t>
  </si>
  <si>
    <t xml:space="preserve">1.7x</t>
  </si>
  <si>
    <t xml:space="preserve">7.0x</t>
  </si>
  <si>
    <t xml:space="preserve">IRR (5-Year)</t>
  </si>
  <si>
    <t xml:space="preserve">11.0%</t>
  </si>
  <si>
    <t xml:space="preserve">48.0%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</si>
</sst>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&quot;($&quot;#,##0.0\);\-"/>
    <numFmt numFmtId="166" formatCode="0.0%"/>
    <numFmt numFmtId="167" formatCode="0.0\x"/>
    <numFmt numFmtId="168" formatCode="0"/>
    <numFmt numFmtId="169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B05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C9A84C"/>
        <bgColor rgb="FFFF9900"/>
      </patternFill>
    </fill>
    <fill>
      <patternFill patternType="solid">
        <fgColor rgb="FF7B4FB6"/>
        <bgColor rgb="FF595959"/>
      </patternFill>
    </fill>
    <fill>
      <patternFill patternType="solid">
        <fgColor rgb="FFF2F2F2"/>
        <bgColor rgb="FFEDE4F8"/>
      </patternFill>
    </fill>
    <fill>
      <patternFill patternType="solid">
        <fgColor rgb="FFFFFFFF"/>
        <bgColor rgb="FFF2F2F2"/>
      </patternFill>
    </fill>
    <fill>
      <patternFill patternType="solid">
        <fgColor rgb="FFC9B8E8"/>
        <bgColor rgb="FFCC99FF"/>
      </patternFill>
    </fill>
    <fill>
      <patternFill patternType="solid">
        <fgColor rgb="FF3B1F64"/>
        <bgColor rgb="FF333399"/>
      </patternFill>
    </fill>
    <fill>
      <patternFill patternType="solid">
        <fgColor rgb="FFEDE4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9A84C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D7D7"/>
        <bgColor rgb="FFEDE4F8"/>
      </patternFill>
    </fill>
    <fill>
      <patternFill patternType="solid">
        <fgColor rgb="FFFFF2CC"/>
        <bgColor rgb="FFF2F2F2"/>
      </patternFill>
    </fill>
    <fill>
      <patternFill patternType="solid">
        <fgColor rgb="FFD7F0D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595959"/>
      <rgbColor rgb="FF9999FF"/>
      <rgbColor rgb="FF993366"/>
      <rgbColor rgb="FFFFF2CC"/>
      <rgbColor rgb="FFF2F2F2"/>
      <rgbColor rgb="FF660066"/>
      <rgbColor rgb="FFFF8080"/>
      <rgbColor rgb="FF0066CC"/>
      <rgbColor rgb="FFEDE4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D7"/>
      <rgbColor rgb="FFFFFF99"/>
      <rgbColor rgb="FF99CCFF"/>
      <rgbColor rgb="FFFF99CC"/>
      <rgbColor rgb="FFCC99FF"/>
      <rgbColor rgb="FFFFD7D7"/>
      <rgbColor rgb="FF3366FF"/>
      <rgbColor rgb="FF33CCCC"/>
      <rgbColor rgb="FF92D050"/>
      <rgbColor rgb="FFFFC000"/>
      <rgbColor rgb="FFFF9900"/>
      <rgbColor rgb="FFFF6600"/>
      <rgbColor rgb="FF7B4FB6"/>
      <rgbColor rgb="FFC9A84C"/>
      <rgbColor rgb="FF1F3864"/>
      <rgbColor rgb="FF00B050"/>
      <rgbColor rgb="FF003300"/>
      <rgbColor rgb="FF333300"/>
      <rgbColor rgb="FF993300"/>
      <rgbColor rgb="FF993366"/>
      <rgbColor rgb="FF333399"/>
      <rgbColor rgb="FF3B1F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20"/>
    <col collapsed="false" customWidth="true" hidden="false" outlineLevel="0" max="6" min="6" style="1" width="3"/>
  </cols>
  <sheetData>
    <row r="2" customFormat="false" ht="24" hidden="false" customHeight="true" outlineLevel="0" collapsed="false">
      <c r="B2" s="2" t="s">
        <v>0</v>
      </c>
      <c r="C2" s="2"/>
      <c r="D2" s="2"/>
      <c r="E2" s="2"/>
    </row>
    <row r="3" customFormat="false" ht="15" hidden="false" customHeight="true" outlineLevel="0" collapsed="false">
      <c r="B3" s="3" t="s">
        <v>1</v>
      </c>
      <c r="C3" s="3"/>
      <c r="D3" s="3"/>
      <c r="E3" s="3"/>
    </row>
    <row r="4" customFormat="false" ht="15" hidden="false" customHeight="true" outlineLevel="0" collapsed="false">
      <c r="B4" s="4" t="s">
        <v>2</v>
      </c>
      <c r="C4" s="4"/>
      <c r="D4" s="4"/>
      <c r="E4" s="4"/>
    </row>
    <row r="5" customFormat="false" ht="15" hidden="false" customHeight="true" outlineLevel="0" collapsed="false">
      <c r="B5" s="5"/>
      <c r="C5" s="5"/>
      <c r="D5" s="5"/>
      <c r="E5" s="5"/>
    </row>
    <row r="7" customFormat="false" ht="15" hidden="false" customHeight="true" outlineLevel="0" collapsed="false">
      <c r="B7" s="6" t="s">
        <v>3</v>
      </c>
      <c r="C7" s="6"/>
      <c r="D7" s="6"/>
      <c r="E7" s="6"/>
    </row>
    <row r="8" customFormat="false" ht="15" hidden="false" customHeight="true" outlineLevel="0" collapsed="false">
      <c r="B8" s="7" t="s">
        <v>4</v>
      </c>
      <c r="C8" s="7" t="s">
        <v>5</v>
      </c>
      <c r="D8" s="7" t="s">
        <v>6</v>
      </c>
      <c r="E8" s="7" t="s">
        <v>7</v>
      </c>
    </row>
    <row r="9" customFormat="false" ht="15" hidden="false" customHeight="true" outlineLevel="0" collapsed="false">
      <c r="B9" s="8" t="s">
        <v>8</v>
      </c>
      <c r="C9" s="9" t="s">
        <v>9</v>
      </c>
      <c r="D9" s="9" t="s">
        <v>10</v>
      </c>
      <c r="E9" s="9" t="s">
        <v>10</v>
      </c>
    </row>
    <row r="10" customFormat="false" ht="15" hidden="false" customHeight="true" outlineLevel="0" collapsed="false">
      <c r="B10" s="10" t="s">
        <v>11</v>
      </c>
      <c r="C10" s="11" t="s">
        <v>12</v>
      </c>
      <c r="D10" s="11" t="s">
        <v>10</v>
      </c>
      <c r="E10" s="11" t="s">
        <v>10</v>
      </c>
    </row>
    <row r="11" customFormat="false" ht="15" hidden="false" customHeight="true" outlineLevel="0" collapsed="false">
      <c r="B11" s="8" t="s">
        <v>13</v>
      </c>
      <c r="C11" s="9" t="s">
        <v>14</v>
      </c>
      <c r="D11" s="9" t="s">
        <v>15</v>
      </c>
      <c r="E11" s="9" t="s">
        <v>16</v>
      </c>
    </row>
    <row r="12" customFormat="false" ht="15" hidden="false" customHeight="true" outlineLevel="0" collapsed="false">
      <c r="B12" s="10" t="s">
        <v>17</v>
      </c>
      <c r="C12" s="11" t="s">
        <v>10</v>
      </c>
      <c r="D12" s="11" t="s">
        <v>18</v>
      </c>
      <c r="E12" s="11" t="s">
        <v>19</v>
      </c>
    </row>
    <row r="13" customFormat="false" ht="15" hidden="false" customHeight="true" outlineLevel="0" collapsed="false">
      <c r="B13" s="8" t="s">
        <v>20</v>
      </c>
      <c r="C13" s="9" t="s">
        <v>10</v>
      </c>
      <c r="D13" s="9" t="s">
        <v>10</v>
      </c>
      <c r="E13" s="9" t="s">
        <v>21</v>
      </c>
    </row>
    <row r="14" customFormat="false" ht="15" hidden="false" customHeight="true" outlineLevel="0" collapsed="false">
      <c r="B14" s="10" t="s">
        <v>22</v>
      </c>
      <c r="C14" s="11" t="s">
        <v>23</v>
      </c>
      <c r="D14" s="11" t="s">
        <v>10</v>
      </c>
      <c r="E14" s="11" t="s">
        <v>10</v>
      </c>
    </row>
    <row r="15" customFormat="false" ht="15" hidden="false" customHeight="true" outlineLevel="0" collapsed="false">
      <c r="B15" s="8" t="s">
        <v>24</v>
      </c>
      <c r="C15" s="9" t="s">
        <v>10</v>
      </c>
      <c r="D15" s="9" t="s">
        <v>25</v>
      </c>
      <c r="E15" s="9" t="s">
        <v>10</v>
      </c>
    </row>
    <row r="16" customFormat="false" ht="15" hidden="false" customHeight="true" outlineLevel="0" collapsed="false">
      <c r="B16" s="10" t="s">
        <v>26</v>
      </c>
      <c r="C16" s="11" t="s">
        <v>10</v>
      </c>
      <c r="D16" s="11" t="s">
        <v>27</v>
      </c>
      <c r="E16" s="11" t="s">
        <v>10</v>
      </c>
    </row>
    <row r="17" customFormat="false" ht="15" hidden="false" customHeight="true" outlineLevel="0" collapsed="false">
      <c r="B17" s="8" t="s">
        <v>28</v>
      </c>
      <c r="C17" s="9" t="s">
        <v>10</v>
      </c>
      <c r="D17" s="9" t="s">
        <v>29</v>
      </c>
      <c r="E17" s="9" t="s">
        <v>10</v>
      </c>
    </row>
    <row r="18" customFormat="false" ht="15" hidden="false" customHeight="true" outlineLevel="0" collapsed="false">
      <c r="B18" s="10" t="s">
        <v>30</v>
      </c>
      <c r="C18" s="11" t="s">
        <v>10</v>
      </c>
      <c r="D18" s="11" t="s">
        <v>31</v>
      </c>
      <c r="E18" s="11" t="s">
        <v>10</v>
      </c>
    </row>
    <row r="21" customFormat="false" ht="15" hidden="false" customHeight="true" outlineLevel="0" collapsed="false">
      <c r="B21" s="6" t="s">
        <v>32</v>
      </c>
      <c r="C21" s="6"/>
      <c r="D21" s="6"/>
      <c r="E21" s="6"/>
    </row>
    <row r="22" customFormat="false" ht="15" hidden="false" customHeight="true" outlineLevel="0" collapsed="false">
      <c r="B22" s="7" t="s">
        <v>33</v>
      </c>
      <c r="C22" s="7" t="s">
        <v>34</v>
      </c>
      <c r="D22" s="7" t="s">
        <v>35</v>
      </c>
      <c r="E22" s="7" t="s">
        <v>36</v>
      </c>
    </row>
    <row r="23" customFormat="false" ht="15" hidden="false" customHeight="true" outlineLevel="0" collapsed="false">
      <c r="B23" s="12" t="s">
        <v>37</v>
      </c>
      <c r="C23" s="9" t="s">
        <v>38</v>
      </c>
      <c r="D23" s="9" t="s">
        <v>39</v>
      </c>
      <c r="E23" s="9" t="s">
        <v>40</v>
      </c>
    </row>
    <row r="24" customFormat="false" ht="15" hidden="false" customHeight="true" outlineLevel="0" collapsed="false">
      <c r="B24" s="13" t="s">
        <v>41</v>
      </c>
      <c r="C24" s="11" t="s">
        <v>42</v>
      </c>
      <c r="D24" s="11" t="s">
        <v>43</v>
      </c>
      <c r="E24" s="11" t="s">
        <v>44</v>
      </c>
    </row>
    <row r="25" customFormat="false" ht="15" hidden="false" customHeight="true" outlineLevel="0" collapsed="false">
      <c r="B25" s="12" t="s">
        <v>45</v>
      </c>
      <c r="C25" s="9" t="s">
        <v>46</v>
      </c>
      <c r="D25" s="9" t="s">
        <v>47</v>
      </c>
      <c r="E25" s="9" t="s">
        <v>48</v>
      </c>
    </row>
    <row r="26" customFormat="false" ht="15" hidden="false" customHeight="true" outlineLevel="0" collapsed="false">
      <c r="B26" s="13" t="s">
        <v>49</v>
      </c>
      <c r="C26" s="11" t="s">
        <v>50</v>
      </c>
      <c r="D26" s="11" t="s">
        <v>51</v>
      </c>
      <c r="E26" s="11" t="s">
        <v>52</v>
      </c>
    </row>
    <row r="27" customFormat="false" ht="15" hidden="false" customHeight="true" outlineLevel="0" collapsed="false">
      <c r="B27" s="14" t="s">
        <v>53</v>
      </c>
      <c r="C27" s="15" t="s">
        <v>54</v>
      </c>
      <c r="D27" s="15" t="s">
        <v>55</v>
      </c>
      <c r="E27" s="15" t="s">
        <v>56</v>
      </c>
    </row>
    <row r="28" customFormat="false" ht="15" hidden="false" customHeight="true" outlineLevel="0" collapsed="false">
      <c r="B28" s="13" t="s">
        <v>57</v>
      </c>
      <c r="C28" s="11" t="s">
        <v>23</v>
      </c>
      <c r="D28" s="11" t="s">
        <v>58</v>
      </c>
      <c r="E28" s="11" t="s">
        <v>10</v>
      </c>
    </row>
    <row r="29" customFormat="false" ht="15" hidden="false" customHeight="true" outlineLevel="0" collapsed="false">
      <c r="B29" s="14" t="s">
        <v>59</v>
      </c>
      <c r="C29" s="15" t="s">
        <v>14</v>
      </c>
      <c r="D29" s="15" t="s">
        <v>60</v>
      </c>
      <c r="E29" s="15" t="s">
        <v>10</v>
      </c>
    </row>
  </sheetData>
  <mergeCells count="5">
    <mergeCell ref="B2:E2"/>
    <mergeCell ref="B3:E3"/>
    <mergeCell ref="B4:E4"/>
    <mergeCell ref="B7:E7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5" min="3" style="1" width="20"/>
  </cols>
  <sheetData>
    <row r="1" customFormat="false" ht="15.75" hidden="false" customHeight="true" outlineLevel="0" collapsed="false">
      <c r="B1" s="16" t="s">
        <v>61</v>
      </c>
      <c r="C1" s="16"/>
      <c r="D1" s="16"/>
      <c r="E1" s="16"/>
    </row>
    <row r="3" customFormat="false" ht="15.75" hidden="false" customHeight="true" outlineLevel="0" collapsed="false">
      <c r="B3" s="17" t="s">
        <v>62</v>
      </c>
      <c r="C3" s="17"/>
      <c r="D3" s="17"/>
      <c r="E3" s="17"/>
    </row>
    <row r="4" customFormat="false" ht="15" hidden="false" customHeight="true" outlineLevel="0" collapsed="false">
      <c r="B4" s="18" t="s">
        <v>63</v>
      </c>
      <c r="C4" s="19" t="n">
        <v>380</v>
      </c>
    </row>
    <row r="5" customFormat="false" ht="15" hidden="false" customHeight="true" outlineLevel="0" collapsed="false">
      <c r="B5" s="20" t="s">
        <v>64</v>
      </c>
      <c r="C5" s="21" t="n">
        <v>76</v>
      </c>
    </row>
    <row r="6" customFormat="false" ht="15" hidden="false" customHeight="true" outlineLevel="0" collapsed="false">
      <c r="B6" s="18" t="s">
        <v>65</v>
      </c>
      <c r="C6" s="22" t="n">
        <f aca="false">C5/C4</f>
        <v>0.2</v>
      </c>
    </row>
    <row r="7" customFormat="false" ht="15" hidden="false" customHeight="true" outlineLevel="0" collapsed="false">
      <c r="B7" s="20" t="s">
        <v>11</v>
      </c>
      <c r="C7" s="23" t="n">
        <v>10</v>
      </c>
    </row>
    <row r="8" customFormat="false" ht="15" hidden="false" customHeight="true" outlineLevel="0" collapsed="false">
      <c r="B8" s="18" t="s">
        <v>13</v>
      </c>
      <c r="C8" s="24" t="n">
        <f aca="false">C5*C7</f>
        <v>760</v>
      </c>
    </row>
    <row r="9" customFormat="false" ht="15" hidden="false" customHeight="true" outlineLevel="0" collapsed="false">
      <c r="B9" s="20" t="s">
        <v>66</v>
      </c>
      <c r="C9" s="21" t="n">
        <v>0</v>
      </c>
    </row>
    <row r="10" customFormat="false" ht="15" hidden="false" customHeight="true" outlineLevel="0" collapsed="false">
      <c r="B10" s="18" t="s">
        <v>67</v>
      </c>
      <c r="C10" s="24" t="n">
        <f aca="false">C8-C9</f>
        <v>760</v>
      </c>
    </row>
    <row r="11" customFormat="false" ht="15" hidden="false" customHeight="true" outlineLevel="0" collapsed="false">
      <c r="B11" s="20" t="s">
        <v>68</v>
      </c>
      <c r="C11" s="21" t="n">
        <v>15.2</v>
      </c>
    </row>
    <row r="12" customFormat="false" ht="15" hidden="false" customHeight="true" outlineLevel="0" collapsed="false">
      <c r="B12" s="18" t="s">
        <v>69</v>
      </c>
      <c r="C12" s="24" t="n">
        <f aca="false">C10+C11</f>
        <v>775.2</v>
      </c>
    </row>
    <row r="16" customFormat="false" ht="15.75" hidden="false" customHeight="true" outlineLevel="0" collapsed="false">
      <c r="B16" s="17" t="s">
        <v>70</v>
      </c>
      <c r="C16" s="17"/>
      <c r="D16" s="17"/>
      <c r="E16" s="17"/>
    </row>
    <row r="17" customFormat="false" ht="15" hidden="false" customHeight="true" outlineLevel="0" collapsed="false">
      <c r="B17" s="25" t="s">
        <v>71</v>
      </c>
      <c r="C17" s="7" t="s">
        <v>34</v>
      </c>
      <c r="D17" s="7" t="s">
        <v>35</v>
      </c>
    </row>
    <row r="18" customFormat="false" ht="15" hidden="false" customHeight="true" outlineLevel="0" collapsed="false">
      <c r="B18" s="18" t="s">
        <v>37</v>
      </c>
      <c r="C18" s="19" t="n">
        <v>0</v>
      </c>
      <c r="D18" s="26" t="n">
        <f aca="false">C18/C24</f>
        <v>0</v>
      </c>
    </row>
    <row r="19" customFormat="false" ht="15" hidden="false" customHeight="true" outlineLevel="0" collapsed="false">
      <c r="B19" s="20" t="s">
        <v>72</v>
      </c>
      <c r="C19" s="21" t="n">
        <v>152</v>
      </c>
      <c r="D19" s="27" t="n">
        <f aca="false">C19/C24</f>
        <v>0.2</v>
      </c>
    </row>
    <row r="20" customFormat="false" ht="15" hidden="false" customHeight="true" outlineLevel="0" collapsed="false">
      <c r="B20" s="18" t="s">
        <v>73</v>
      </c>
      <c r="C20" s="19" t="n">
        <v>228</v>
      </c>
      <c r="D20" s="26" t="n">
        <f aca="false">C20/C24</f>
        <v>0.3</v>
      </c>
    </row>
    <row r="21" customFormat="false" ht="15" hidden="false" customHeight="true" outlineLevel="0" collapsed="false">
      <c r="B21" s="20" t="s">
        <v>49</v>
      </c>
      <c r="C21" s="21" t="n">
        <v>76</v>
      </c>
      <c r="D21" s="27" t="n">
        <f aca="false">C21/C24</f>
        <v>0.1</v>
      </c>
    </row>
    <row r="22" customFormat="false" ht="15" hidden="false" customHeight="true" outlineLevel="0" collapsed="false">
      <c r="B22" s="18" t="s">
        <v>57</v>
      </c>
      <c r="C22" s="19" t="n">
        <v>304</v>
      </c>
      <c r="D22" s="26" t="n">
        <f aca="false">C22/C24</f>
        <v>0.4</v>
      </c>
    </row>
    <row r="23" customFormat="false" ht="15" hidden="false" customHeight="true" outlineLevel="0" collapsed="false">
      <c r="B23" s="20" t="s">
        <v>74</v>
      </c>
      <c r="C23" s="21" t="n">
        <v>0</v>
      </c>
      <c r="D23" s="27" t="n">
        <f aca="false">C23/C24</f>
        <v>0</v>
      </c>
    </row>
    <row r="24" customFormat="false" ht="15" hidden="false" customHeight="true" outlineLevel="0" collapsed="false">
      <c r="B24" s="28" t="s">
        <v>75</v>
      </c>
      <c r="C24" s="29" t="n">
        <f aca="false">SUM(C18:C23)</f>
        <v>760</v>
      </c>
      <c r="D24" s="30" t="n">
        <f aca="false">SUM(D18:D23)</f>
        <v>1</v>
      </c>
    </row>
    <row r="27" customFormat="false" ht="15.75" hidden="false" customHeight="true" outlineLevel="0" collapsed="false">
      <c r="B27" s="17" t="s">
        <v>76</v>
      </c>
      <c r="C27" s="17"/>
      <c r="D27" s="17"/>
      <c r="E27" s="17"/>
    </row>
    <row r="28" customFormat="false" ht="15" hidden="false" customHeight="true" outlineLevel="0" collapsed="false">
      <c r="B28" s="18" t="s">
        <v>77</v>
      </c>
      <c r="C28" s="31" t="n">
        <v>0.0775</v>
      </c>
    </row>
    <row r="29" customFormat="false" ht="15" hidden="false" customHeight="true" outlineLevel="0" collapsed="false">
      <c r="B29" s="20" t="s">
        <v>78</v>
      </c>
      <c r="C29" s="32" t="n">
        <v>0.09</v>
      </c>
    </row>
    <row r="30" customFormat="false" ht="15" hidden="false" customHeight="true" outlineLevel="0" collapsed="false">
      <c r="B30" s="18" t="s">
        <v>79</v>
      </c>
      <c r="C30" s="31" t="n">
        <v>0.075</v>
      </c>
    </row>
    <row r="31" customFormat="false" ht="15" hidden="false" customHeight="true" outlineLevel="0" collapsed="false">
      <c r="B31" s="20" t="s">
        <v>80</v>
      </c>
      <c r="C31" s="32" t="n">
        <v>0.05</v>
      </c>
    </row>
    <row r="32" customFormat="false" ht="15" hidden="false" customHeight="true" outlineLevel="0" collapsed="false">
      <c r="B32" s="18" t="s">
        <v>81</v>
      </c>
      <c r="C32" s="31" t="n">
        <v>0.01</v>
      </c>
    </row>
    <row r="33" customFormat="false" ht="15" hidden="false" customHeight="true" outlineLevel="0" collapsed="false">
      <c r="B33" s="20" t="s">
        <v>82</v>
      </c>
      <c r="C33" s="32" t="n">
        <v>0.5</v>
      </c>
    </row>
    <row r="35" customFormat="false" ht="15.75" hidden="false" customHeight="true" outlineLevel="0" collapsed="false">
      <c r="B35" s="17" t="s">
        <v>83</v>
      </c>
      <c r="C35" s="17"/>
      <c r="D35" s="17"/>
      <c r="E35" s="17"/>
    </row>
    <row r="36" customFormat="false" ht="15" hidden="false" customHeight="true" outlineLevel="0" collapsed="false">
      <c r="B36" s="18" t="s">
        <v>84</v>
      </c>
      <c r="C36" s="33" t="n">
        <v>2029</v>
      </c>
    </row>
    <row r="37" customFormat="false" ht="15" hidden="false" customHeight="true" outlineLevel="0" collapsed="false">
      <c r="B37" s="20" t="s">
        <v>85</v>
      </c>
      <c r="C37" s="34" t="n">
        <f aca="false">C36-2024</f>
        <v>5</v>
      </c>
    </row>
    <row r="38" customFormat="false" ht="15" hidden="false" customHeight="true" outlineLevel="0" collapsed="false">
      <c r="B38" s="18" t="s">
        <v>17</v>
      </c>
      <c r="C38" s="35" t="n">
        <v>10.5</v>
      </c>
    </row>
    <row r="39" customFormat="false" ht="15" hidden="false" customHeight="true" outlineLevel="0" collapsed="false">
      <c r="B39" s="20" t="s">
        <v>20</v>
      </c>
      <c r="C39" s="21" t="n">
        <v>121</v>
      </c>
    </row>
    <row r="40" customFormat="false" ht="15" hidden="false" customHeight="true" outlineLevel="0" collapsed="false">
      <c r="B40" s="18" t="s">
        <v>86</v>
      </c>
      <c r="C40" s="24" t="n">
        <f aca="false">C38*C39</f>
        <v>1270.5</v>
      </c>
    </row>
    <row r="41" customFormat="false" ht="15" hidden="false" customHeight="true" outlineLevel="0" collapsed="false">
      <c r="B41" s="20" t="s">
        <v>87</v>
      </c>
      <c r="C41" s="21" t="n">
        <v>122</v>
      </c>
    </row>
    <row r="42" customFormat="false" ht="15" hidden="false" customHeight="true" outlineLevel="0" collapsed="false">
      <c r="B42" s="18" t="s">
        <v>88</v>
      </c>
      <c r="C42" s="24" t="n">
        <f aca="false">C40-C41</f>
        <v>1148.5</v>
      </c>
    </row>
  </sheetData>
  <mergeCells count="5">
    <mergeCell ref="B1:E1"/>
    <mergeCell ref="B3:E3"/>
    <mergeCell ref="B16:E16"/>
    <mergeCell ref="B27:E27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8" min="3" style="1" width="12"/>
  </cols>
  <sheetData>
    <row r="1" customFormat="false" ht="15.75" hidden="false" customHeight="true" outlineLevel="0" collapsed="false">
      <c r="B1" s="16" t="s">
        <v>89</v>
      </c>
      <c r="C1" s="16"/>
      <c r="D1" s="16"/>
      <c r="E1" s="16"/>
      <c r="F1" s="16"/>
      <c r="G1" s="16"/>
      <c r="H1" s="16"/>
    </row>
    <row r="3" customFormat="false" ht="15.75" hidden="false" customHeight="true" outlineLevel="0" collapsed="false">
      <c r="B3" s="17" t="s">
        <v>90</v>
      </c>
      <c r="C3" s="17"/>
      <c r="D3" s="17"/>
      <c r="E3" s="17"/>
      <c r="F3" s="17"/>
      <c r="G3" s="17"/>
      <c r="H3" s="17"/>
    </row>
    <row r="4" customFormat="false" ht="15" hidden="false" customHeight="true" outlineLevel="0" collapsed="false">
      <c r="B4" s="25" t="s">
        <v>91</v>
      </c>
      <c r="C4" s="7" t="s">
        <v>92</v>
      </c>
      <c r="D4" s="7" t="s">
        <v>93</v>
      </c>
      <c r="E4" s="7" t="s">
        <v>94</v>
      </c>
      <c r="F4" s="7" t="s">
        <v>95</v>
      </c>
      <c r="G4" s="7" t="s">
        <v>96</v>
      </c>
      <c r="H4" s="7" t="s">
        <v>97</v>
      </c>
    </row>
    <row r="5" customFormat="false" ht="15" hidden="false" customHeight="true" outlineLevel="0" collapsed="false">
      <c r="B5" s="28" t="s">
        <v>98</v>
      </c>
      <c r="C5" s="36" t="n">
        <v>380</v>
      </c>
      <c r="D5" s="36" t="n">
        <v>406.6</v>
      </c>
      <c r="E5" s="36" t="n">
        <v>435.1</v>
      </c>
      <c r="F5" s="36" t="n">
        <v>465.6</v>
      </c>
      <c r="G5" s="36" t="n">
        <v>498.2</v>
      </c>
      <c r="H5" s="36" t="n">
        <v>533</v>
      </c>
    </row>
    <row r="6" customFormat="false" ht="15" hidden="false" customHeight="true" outlineLevel="0" collapsed="false">
      <c r="B6" s="18" t="s">
        <v>99</v>
      </c>
      <c r="C6" s="22" t="s">
        <v>100</v>
      </c>
      <c r="D6" s="22" t="n">
        <f aca="false">(D5-C5)/C5</f>
        <v>0.0700000000000001</v>
      </c>
      <c r="E6" s="22" t="n">
        <f aca="false">(E5-D5)/D5</f>
        <v>0.0700934579439252</v>
      </c>
      <c r="F6" s="22" t="n">
        <f aca="false">(F5-E5)/E5</f>
        <v>0.0700988278556654</v>
      </c>
      <c r="G6" s="22" t="n">
        <f aca="false">(G5-F5)/F5</f>
        <v>0.0700171821305841</v>
      </c>
      <c r="H6" s="22" t="n">
        <f aca="false">(H5-G5)/G5</f>
        <v>0.06985146527499</v>
      </c>
    </row>
    <row r="7" customFormat="false" ht="15" hidden="false" customHeight="true" outlineLevel="0" collapsed="false">
      <c r="B7" s="28" t="s">
        <v>101</v>
      </c>
      <c r="C7" s="29" t="n">
        <f aca="false">C5*0.42</f>
        <v>159.6</v>
      </c>
      <c r="D7" s="29" t="n">
        <f aca="false">D5*0.428</f>
        <v>174.0248</v>
      </c>
      <c r="E7" s="29" t="n">
        <f aca="false">E5*0.436</f>
        <v>189.7036</v>
      </c>
      <c r="F7" s="29" t="n">
        <f aca="false">F5*0.444</f>
        <v>206.7264</v>
      </c>
      <c r="G7" s="29" t="n">
        <f aca="false">G5*0.452</f>
        <v>225.1864</v>
      </c>
      <c r="H7" s="29" t="n">
        <f aca="false">H5*0.46</f>
        <v>245.18</v>
      </c>
    </row>
    <row r="8" customFormat="false" ht="15" hidden="false" customHeight="true" outlineLevel="0" collapsed="false">
      <c r="B8" s="18" t="s">
        <v>102</v>
      </c>
      <c r="C8" s="31" t="n">
        <v>0.42</v>
      </c>
      <c r="D8" s="31" t="n">
        <v>0.428</v>
      </c>
      <c r="E8" s="31" t="n">
        <v>0.436</v>
      </c>
      <c r="F8" s="31" t="n">
        <v>0.444</v>
      </c>
      <c r="G8" s="31" t="n">
        <v>0.452</v>
      </c>
      <c r="H8" s="31" t="n">
        <v>0.46</v>
      </c>
    </row>
    <row r="9" customFormat="false" ht="15" hidden="false" customHeight="true" outlineLevel="0" collapsed="false">
      <c r="B9" s="28" t="s">
        <v>103</v>
      </c>
      <c r="C9" s="29" t="n">
        <f aca="false">C5*0.2</f>
        <v>76</v>
      </c>
      <c r="D9" s="29" t="n">
        <f aca="false">D5*0.21</f>
        <v>85.386</v>
      </c>
      <c r="E9" s="29" t="n">
        <f aca="false">E5*0.22</f>
        <v>95.722</v>
      </c>
      <c r="F9" s="29" t="n">
        <f aca="false">F5*0.23</f>
        <v>107.088</v>
      </c>
      <c r="G9" s="29" t="n">
        <f aca="false">G5*0.24</f>
        <v>119.568</v>
      </c>
      <c r="H9" s="29" t="n">
        <f aca="false">H5*0.227</f>
        <v>120.991</v>
      </c>
    </row>
    <row r="10" customFormat="false" ht="15" hidden="false" customHeight="true" outlineLevel="0" collapsed="false">
      <c r="B10" s="18" t="s">
        <v>104</v>
      </c>
      <c r="C10" s="31" t="n">
        <v>0.2</v>
      </c>
      <c r="D10" s="31" t="n">
        <v>0.21</v>
      </c>
      <c r="E10" s="31" t="n">
        <v>0.22</v>
      </c>
      <c r="F10" s="31" t="n">
        <v>0.23</v>
      </c>
      <c r="G10" s="31" t="n">
        <v>0.24</v>
      </c>
      <c r="H10" s="31" t="n">
        <v>0.227</v>
      </c>
    </row>
    <row r="11" customFormat="false" ht="15" hidden="false" customHeight="true" outlineLevel="0" collapsed="false">
      <c r="B11" s="20" t="s">
        <v>105</v>
      </c>
      <c r="C11" s="21" t="n">
        <v>12.4</v>
      </c>
      <c r="D11" s="21" t="n">
        <v>13.4</v>
      </c>
      <c r="E11" s="21" t="n">
        <v>14.4</v>
      </c>
      <c r="F11" s="21" t="n">
        <v>15.4</v>
      </c>
      <c r="G11" s="21" t="n">
        <v>16.4</v>
      </c>
      <c r="H11" s="21" t="n">
        <v>17.4</v>
      </c>
    </row>
    <row r="12" customFormat="false" ht="15" hidden="false" customHeight="true" outlineLevel="0" collapsed="false">
      <c r="B12" s="28" t="s">
        <v>106</v>
      </c>
      <c r="C12" s="29" t="n">
        <f aca="false">C9-C11</f>
        <v>63.6</v>
      </c>
      <c r="D12" s="29" t="n">
        <f aca="false">D9-D11</f>
        <v>71.986</v>
      </c>
      <c r="E12" s="29" t="n">
        <f aca="false">E9-E11</f>
        <v>81.322</v>
      </c>
      <c r="F12" s="29" t="n">
        <f aca="false">F9-F11</f>
        <v>91.688</v>
      </c>
      <c r="G12" s="29" t="n">
        <f aca="false">G9-G11</f>
        <v>103.168</v>
      </c>
      <c r="H12" s="29" t="n">
        <f aca="false">H9-H11</f>
        <v>103.591</v>
      </c>
    </row>
    <row r="14" customFormat="false" ht="15.75" hidden="false" customHeight="true" outlineLevel="0" collapsed="false">
      <c r="B14" s="17" t="s">
        <v>107</v>
      </c>
      <c r="C14" s="17"/>
      <c r="D14" s="17"/>
      <c r="E14" s="17"/>
      <c r="F14" s="17"/>
      <c r="G14" s="17"/>
      <c r="H14" s="17"/>
    </row>
    <row r="15" customFormat="false" ht="15" hidden="false" customHeight="true" outlineLevel="0" collapsed="false">
      <c r="B15" s="25" t="s">
        <v>91</v>
      </c>
      <c r="C15" s="7" t="s">
        <v>92</v>
      </c>
      <c r="D15" s="7" t="s">
        <v>93</v>
      </c>
      <c r="E15" s="7" t="s">
        <v>94</v>
      </c>
      <c r="F15" s="7" t="s">
        <v>95</v>
      </c>
      <c r="G15" s="7" t="s">
        <v>96</v>
      </c>
      <c r="H15" s="7" t="s">
        <v>97</v>
      </c>
    </row>
    <row r="16" customFormat="false" ht="15" hidden="false" customHeight="true" outlineLevel="0" collapsed="false">
      <c r="B16" s="18" t="s">
        <v>108</v>
      </c>
      <c r="C16" s="24" t="n">
        <v>152</v>
      </c>
      <c r="D16" s="24" t="n">
        <f aca="false">C18</f>
        <v>144.4</v>
      </c>
      <c r="E16" s="24" t="n">
        <f aca="false">D18</f>
        <v>136.4</v>
      </c>
      <c r="F16" s="24" t="n">
        <f aca="false">E18</f>
        <v>128.4</v>
      </c>
      <c r="G16" s="24" t="n">
        <f aca="false">F18</f>
        <v>120.4</v>
      </c>
      <c r="H16" s="24" t="n">
        <f aca="false">G18</f>
        <v>112.4</v>
      </c>
    </row>
    <row r="17" customFormat="false" ht="15" hidden="false" customHeight="true" outlineLevel="0" collapsed="false">
      <c r="B17" s="20" t="s">
        <v>109</v>
      </c>
      <c r="C17" s="21" t="n">
        <v>7.6</v>
      </c>
      <c r="D17" s="21" t="n">
        <v>8</v>
      </c>
      <c r="E17" s="21" t="n">
        <v>8</v>
      </c>
      <c r="F17" s="21" t="n">
        <v>8</v>
      </c>
      <c r="G17" s="21" t="n">
        <v>8</v>
      </c>
      <c r="H17" s="21" t="n">
        <v>8</v>
      </c>
    </row>
    <row r="18" customFormat="false" ht="15" hidden="false" customHeight="true" outlineLevel="0" collapsed="false">
      <c r="B18" s="28" t="s">
        <v>110</v>
      </c>
      <c r="C18" s="29" t="n">
        <f aca="false">C16-C17</f>
        <v>144.4</v>
      </c>
      <c r="D18" s="29" t="n">
        <f aca="false">D16-D17</f>
        <v>136.4</v>
      </c>
      <c r="E18" s="29" t="n">
        <f aca="false">E16-E17</f>
        <v>128.4</v>
      </c>
      <c r="F18" s="29" t="n">
        <f aca="false">F16-F17</f>
        <v>120.4</v>
      </c>
      <c r="G18" s="29" t="n">
        <f aca="false">G16-G17</f>
        <v>112.4</v>
      </c>
      <c r="H18" s="29" t="n">
        <f aca="false">H16-H17</f>
        <v>104.4</v>
      </c>
    </row>
    <row r="19" customFormat="false" ht="15" hidden="false" customHeight="true" outlineLevel="0" collapsed="false">
      <c r="B19" s="20" t="s">
        <v>111</v>
      </c>
      <c r="C19" s="34" t="n">
        <v>228</v>
      </c>
      <c r="D19" s="34" t="n">
        <f aca="false">C21</f>
        <v>225.7</v>
      </c>
      <c r="E19" s="34" t="n">
        <f aca="false">D21</f>
        <v>223.4</v>
      </c>
      <c r="F19" s="34" t="n">
        <f aca="false">E21</f>
        <v>221.1</v>
      </c>
      <c r="G19" s="34" t="n">
        <f aca="false">F21</f>
        <v>218.8</v>
      </c>
      <c r="H19" s="34" t="n">
        <f aca="false">G21</f>
        <v>216.5</v>
      </c>
    </row>
    <row r="20" customFormat="false" ht="15" hidden="false" customHeight="true" outlineLevel="0" collapsed="false">
      <c r="B20" s="18" t="s">
        <v>112</v>
      </c>
      <c r="C20" s="19" t="n">
        <v>2.3</v>
      </c>
      <c r="D20" s="19" t="n">
        <v>2.3</v>
      </c>
      <c r="E20" s="19" t="n">
        <v>2.3</v>
      </c>
      <c r="F20" s="19" t="n">
        <v>2.3</v>
      </c>
      <c r="G20" s="19" t="n">
        <v>2.3</v>
      </c>
      <c r="H20" s="19" t="n">
        <v>2.3</v>
      </c>
    </row>
    <row r="21" customFormat="false" ht="15" hidden="false" customHeight="true" outlineLevel="0" collapsed="false">
      <c r="B21" s="28" t="s">
        <v>113</v>
      </c>
      <c r="C21" s="29" t="n">
        <f aca="false">C19-C20</f>
        <v>225.7</v>
      </c>
      <c r="D21" s="29" t="n">
        <f aca="false">D19-D20</f>
        <v>223.4</v>
      </c>
      <c r="E21" s="29" t="n">
        <f aca="false">E19-E20</f>
        <v>221.1</v>
      </c>
      <c r="F21" s="29" t="n">
        <f aca="false">F19-F20</f>
        <v>218.8</v>
      </c>
      <c r="G21" s="29" t="n">
        <f aca="false">G19-G20</f>
        <v>216.5</v>
      </c>
      <c r="H21" s="29" t="n">
        <f aca="false">H19-H20</f>
        <v>214.2</v>
      </c>
    </row>
    <row r="22" customFormat="false" ht="15" hidden="false" customHeight="true" outlineLevel="0" collapsed="false">
      <c r="B22" s="28" t="s">
        <v>49</v>
      </c>
      <c r="C22" s="36" t="n">
        <v>76</v>
      </c>
      <c r="D22" s="36" t="n">
        <v>76</v>
      </c>
      <c r="E22" s="36" t="n">
        <v>76</v>
      </c>
      <c r="F22" s="36" t="n">
        <v>76</v>
      </c>
      <c r="G22" s="36" t="n">
        <v>76</v>
      </c>
      <c r="H22" s="36" t="n">
        <v>76</v>
      </c>
    </row>
    <row r="23" customFormat="false" ht="15" hidden="false" customHeight="true" outlineLevel="0" collapsed="false">
      <c r="B23" s="37" t="s">
        <v>114</v>
      </c>
      <c r="C23" s="38" t="n">
        <f aca="false">C18+C21+C22</f>
        <v>446.1</v>
      </c>
      <c r="D23" s="38" t="n">
        <f aca="false">D18+D21+D22</f>
        <v>435.8</v>
      </c>
      <c r="E23" s="38" t="n">
        <f aca="false">E18+E21+E22</f>
        <v>425.5</v>
      </c>
      <c r="F23" s="38" t="n">
        <f aca="false">F18+F21+F22</f>
        <v>415.2</v>
      </c>
      <c r="G23" s="38" t="n">
        <f aca="false">G18+G21+G22</f>
        <v>404.9</v>
      </c>
      <c r="H23" s="38" t="n">
        <f aca="false">H18+H21+H22</f>
        <v>394.6</v>
      </c>
    </row>
    <row r="24" customFormat="false" ht="15" hidden="false" customHeight="true" outlineLevel="0" collapsed="false">
      <c r="B24" s="39" t="s">
        <v>115</v>
      </c>
      <c r="C24" s="40" t="n">
        <f aca="false">(C16*0.0775)+(C19*0.09)+(C22*0.075)</f>
        <v>38</v>
      </c>
      <c r="D24" s="40" t="n">
        <f aca="false">(D16*0.0775)+(D19*0.09)+(D22*0.075)</f>
        <v>37.204</v>
      </c>
      <c r="E24" s="40" t="n">
        <f aca="false">(E16*0.0775)+(E19*0.09)+(E22*0.075)</f>
        <v>36.377</v>
      </c>
      <c r="F24" s="40" t="n">
        <f aca="false">(F16*0.0775)+(F19*0.09)+(F22*0.075)</f>
        <v>35.55</v>
      </c>
      <c r="G24" s="40" t="n">
        <f aca="false">(G16*0.0775)+(G19*0.09)+(G22*0.075)</f>
        <v>34.723</v>
      </c>
      <c r="H24" s="40" t="n">
        <f aca="false">(H16*0.0775)+(H19*0.09)+(H22*0.075)</f>
        <v>33.896</v>
      </c>
    </row>
    <row r="25" customFormat="false" ht="15" hidden="false" customHeight="true" outlineLevel="0" collapsed="false">
      <c r="B25" s="41" t="s">
        <v>116</v>
      </c>
      <c r="C25" s="42" t="n">
        <f aca="false">C12-C24</f>
        <v>25.6</v>
      </c>
      <c r="D25" s="42" t="n">
        <f aca="false">D12-D24</f>
        <v>34.782</v>
      </c>
      <c r="E25" s="42" t="n">
        <f aca="false">E12-E24</f>
        <v>44.945</v>
      </c>
      <c r="F25" s="42" t="n">
        <f aca="false">F12-F24</f>
        <v>56.138</v>
      </c>
      <c r="G25" s="42" t="n">
        <f aca="false">G12-G24</f>
        <v>68.445</v>
      </c>
      <c r="H25" s="42" t="n">
        <f aca="false">H12-H24</f>
        <v>69.695</v>
      </c>
    </row>
    <row r="26" customFormat="false" ht="15" hidden="false" customHeight="true" outlineLevel="0" collapsed="false">
      <c r="B26" s="37" t="s">
        <v>117</v>
      </c>
      <c r="C26" s="38" t="n">
        <f aca="false">C25*0.75</f>
        <v>19.2</v>
      </c>
      <c r="D26" s="38" t="n">
        <f aca="false">D25*0.75</f>
        <v>26.0865</v>
      </c>
      <c r="E26" s="38" t="n">
        <f aca="false">E25*0.75</f>
        <v>33.70875</v>
      </c>
      <c r="F26" s="38" t="n">
        <f aca="false">F25*0.75</f>
        <v>42.1035</v>
      </c>
      <c r="G26" s="38" t="n">
        <f aca="false">G25*0.75</f>
        <v>51.33375</v>
      </c>
      <c r="H26" s="38" t="n">
        <f aca="false">H25*0.75</f>
        <v>52.27125</v>
      </c>
    </row>
    <row r="28" customFormat="false" ht="15.75" hidden="false" customHeight="true" outlineLevel="0" collapsed="false">
      <c r="B28" s="17" t="s">
        <v>118</v>
      </c>
      <c r="C28" s="17"/>
      <c r="D28" s="17"/>
      <c r="E28" s="17"/>
      <c r="F28" s="17"/>
      <c r="G28" s="17"/>
      <c r="H28" s="17"/>
    </row>
    <row r="29" customFormat="false" ht="15" hidden="false" customHeight="true" outlineLevel="0" collapsed="false">
      <c r="B29" s="25" t="s">
        <v>91</v>
      </c>
      <c r="C29" s="7" t="s">
        <v>92</v>
      </c>
      <c r="D29" s="7" t="s">
        <v>93</v>
      </c>
      <c r="E29" s="7" t="s">
        <v>94</v>
      </c>
      <c r="F29" s="7" t="s">
        <v>95</v>
      </c>
      <c r="G29" s="7" t="s">
        <v>96</v>
      </c>
      <c r="H29" s="7" t="s">
        <v>97</v>
      </c>
    </row>
    <row r="30" customFormat="false" ht="15" hidden="false" customHeight="true" outlineLevel="0" collapsed="false">
      <c r="B30" s="18" t="s">
        <v>119</v>
      </c>
      <c r="C30" s="43" t="n">
        <f aca="false">C23/C9</f>
        <v>5.86973684210526</v>
      </c>
      <c r="D30" s="43" t="n">
        <f aca="false">D23/D9</f>
        <v>5.10388119832291</v>
      </c>
      <c r="E30" s="43" t="n">
        <f aca="false">E23/E9</f>
        <v>4.44516412110069</v>
      </c>
      <c r="F30" s="43" t="n">
        <f aca="false">F23/F9</f>
        <v>3.87718511878082</v>
      </c>
      <c r="G30" s="43" t="n">
        <f aca="false">G23/G9</f>
        <v>3.38635755386056</v>
      </c>
      <c r="H30" s="43" t="n">
        <f aca="false">H23/H9</f>
        <v>3.26139960823532</v>
      </c>
    </row>
    <row r="31" customFormat="false" ht="15" hidden="false" customHeight="true" outlineLevel="0" collapsed="false">
      <c r="B31" s="20" t="s">
        <v>120</v>
      </c>
      <c r="C31" s="44" t="n">
        <f aca="false">(C23-10)/C9</f>
        <v>5.73815789473684</v>
      </c>
      <c r="D31" s="44" t="n">
        <f aca="false">(D23-10)/D9</f>
        <v>4.98676598037149</v>
      </c>
      <c r="E31" s="44" t="n">
        <f aca="false">(E23-10)/E9</f>
        <v>4.34069492906542</v>
      </c>
      <c r="F31" s="44" t="n">
        <f aca="false">(F23-10)/F9</f>
        <v>3.78380397430151</v>
      </c>
      <c r="G31" s="44" t="n">
        <f aca="false">(G23-10)/G9</f>
        <v>3.30272313662518</v>
      </c>
      <c r="H31" s="44" t="n">
        <f aca="false">(H23-10)/H9</f>
        <v>3.17874883255779</v>
      </c>
    </row>
    <row r="32" customFormat="false" ht="15" hidden="false" customHeight="true" outlineLevel="0" collapsed="false">
      <c r="B32" s="18" t="s">
        <v>121</v>
      </c>
      <c r="C32" s="43" t="n">
        <f aca="false">C9/C24</f>
        <v>2</v>
      </c>
      <c r="D32" s="43" t="n">
        <f aca="false">D9/D24</f>
        <v>2.29507579830126</v>
      </c>
      <c r="E32" s="43" t="n">
        <f aca="false">E9/E24</f>
        <v>2.63138796492289</v>
      </c>
      <c r="F32" s="43" t="n">
        <f aca="false">F9/F24</f>
        <v>3.01232067510549</v>
      </c>
      <c r="G32" s="43" t="n">
        <f aca="false">G9/G24</f>
        <v>3.44348126601964</v>
      </c>
      <c r="H32" s="43" t="n">
        <f aca="false">H9/H24</f>
        <v>3.56947722445126</v>
      </c>
    </row>
    <row r="33" customFormat="false" ht="15" hidden="false" customHeight="true" outlineLevel="0" collapsed="false">
      <c r="B33" s="20" t="s">
        <v>122</v>
      </c>
      <c r="C33" s="44" t="n">
        <f aca="false">(C9-C11)/C24</f>
        <v>1.67368421052632</v>
      </c>
      <c r="D33" s="44" t="n">
        <f aca="false">(D9-D11)/D24</f>
        <v>1.93489947317493</v>
      </c>
      <c r="E33" s="44" t="n">
        <f aca="false">(E9-E11)/E24</f>
        <v>2.23553344146026</v>
      </c>
      <c r="F33" s="44" t="n">
        <f aca="false">(F9-F11)/F24</f>
        <v>2.57912798874824</v>
      </c>
      <c r="G33" s="44" t="n">
        <f aca="false">(G9-G11)/G24</f>
        <v>2.97117184575066</v>
      </c>
      <c r="H33" s="44" t="n">
        <f aca="false">(H9-H11)/H24</f>
        <v>3.0561423176776</v>
      </c>
    </row>
    <row r="34" customFormat="false" ht="15" hidden="false" customHeight="true" outlineLevel="0" collapsed="false">
      <c r="B34" s="45" t="s">
        <v>123</v>
      </c>
      <c r="C34" s="35" t="n">
        <v>5.5</v>
      </c>
      <c r="D34" s="35" t="n">
        <v>5</v>
      </c>
      <c r="E34" s="35" t="n">
        <v>4.5</v>
      </c>
      <c r="F34" s="35" t="n">
        <v>4</v>
      </c>
      <c r="G34" s="35" t="n">
        <v>3.5</v>
      </c>
      <c r="H34" s="35" t="n">
        <v>3.5</v>
      </c>
    </row>
  </sheetData>
  <mergeCells count="4">
    <mergeCell ref="B1:H1"/>
    <mergeCell ref="B3:H3"/>
    <mergeCell ref="B14:H14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9" min="3" style="1" width="14"/>
  </cols>
  <sheetData>
    <row r="1" customFormat="false" ht="15.75" hidden="false" customHeight="true" outlineLevel="0" collapsed="false">
      <c r="B1" s="16" t="s">
        <v>124</v>
      </c>
      <c r="C1" s="16"/>
      <c r="D1" s="16"/>
      <c r="E1" s="16"/>
      <c r="F1" s="16"/>
      <c r="G1" s="16"/>
      <c r="H1" s="16"/>
      <c r="I1" s="16"/>
    </row>
    <row r="3" customFormat="false" ht="15.75" hidden="false" customHeight="true" outlineLevel="0" collapsed="false">
      <c r="B3" s="17" t="s">
        <v>125</v>
      </c>
      <c r="C3" s="17"/>
      <c r="D3" s="17"/>
      <c r="E3" s="17"/>
      <c r="F3" s="17"/>
      <c r="G3" s="17"/>
      <c r="H3" s="17"/>
      <c r="I3" s="17"/>
    </row>
    <row r="4" customFormat="false" ht="15" hidden="false" customHeight="true" outlineLevel="0" collapsed="false">
      <c r="B4" s="7" t="s">
        <v>126</v>
      </c>
      <c r="C4" s="7" t="s">
        <v>5</v>
      </c>
      <c r="D4" s="7" t="s">
        <v>127</v>
      </c>
      <c r="E4" s="7" t="s">
        <v>128</v>
      </c>
      <c r="F4" s="7" t="s">
        <v>129</v>
      </c>
    </row>
    <row r="5" customFormat="false" ht="15" hidden="false" customHeight="true" outlineLevel="0" collapsed="false">
      <c r="B5" s="12" t="s">
        <v>130</v>
      </c>
      <c r="C5" s="9" t="s">
        <v>131</v>
      </c>
      <c r="D5" s="9" t="s">
        <v>132</v>
      </c>
      <c r="E5" s="9" t="s">
        <v>133</v>
      </c>
      <c r="F5" s="9" t="s">
        <v>134</v>
      </c>
    </row>
    <row r="6" customFormat="false" ht="15" hidden="false" customHeight="true" outlineLevel="0" collapsed="false">
      <c r="B6" s="13" t="s">
        <v>135</v>
      </c>
      <c r="C6" s="11" t="s">
        <v>50</v>
      </c>
      <c r="D6" s="11" t="s">
        <v>136</v>
      </c>
      <c r="E6" s="11" t="s">
        <v>137</v>
      </c>
      <c r="F6" s="11" t="s">
        <v>138</v>
      </c>
    </row>
    <row r="7" customFormat="false" ht="15" hidden="false" customHeight="true" outlineLevel="0" collapsed="false">
      <c r="B7" s="12" t="s">
        <v>139</v>
      </c>
      <c r="C7" s="9" t="s">
        <v>140</v>
      </c>
      <c r="D7" s="9" t="s">
        <v>141</v>
      </c>
      <c r="E7" s="9" t="s">
        <v>142</v>
      </c>
      <c r="F7" s="9" t="s">
        <v>143</v>
      </c>
    </row>
    <row r="8" customFormat="false" ht="15" hidden="false" customHeight="true" outlineLevel="0" collapsed="false">
      <c r="B8" s="13" t="s">
        <v>144</v>
      </c>
      <c r="C8" s="11" t="s">
        <v>12</v>
      </c>
      <c r="D8" s="11" t="s">
        <v>12</v>
      </c>
      <c r="E8" s="11" t="s">
        <v>18</v>
      </c>
      <c r="F8" s="11" t="s">
        <v>145</v>
      </c>
    </row>
    <row r="9" customFormat="false" ht="15" hidden="false" customHeight="true" outlineLevel="0" collapsed="false">
      <c r="B9" s="12" t="s">
        <v>13</v>
      </c>
      <c r="C9" s="9" t="s">
        <v>14</v>
      </c>
      <c r="D9" s="9" t="s">
        <v>146</v>
      </c>
      <c r="E9" s="9" t="s">
        <v>15</v>
      </c>
      <c r="F9" s="9" t="s">
        <v>147</v>
      </c>
    </row>
    <row r="10" customFormat="false" ht="15" hidden="false" customHeight="true" outlineLevel="0" collapsed="false">
      <c r="B10" s="13" t="s">
        <v>148</v>
      </c>
      <c r="C10" s="11" t="s">
        <v>149</v>
      </c>
      <c r="D10" s="11" t="s">
        <v>150</v>
      </c>
      <c r="E10" s="11" t="s">
        <v>151</v>
      </c>
      <c r="F10" s="11" t="s">
        <v>10</v>
      </c>
    </row>
    <row r="11" customFormat="false" ht="15" hidden="false" customHeight="true" outlineLevel="0" collapsed="false">
      <c r="B11" s="12" t="s">
        <v>152</v>
      </c>
      <c r="C11" s="9" t="s">
        <v>23</v>
      </c>
      <c r="D11" s="9" t="s">
        <v>153</v>
      </c>
      <c r="E11" s="9" t="s">
        <v>154</v>
      </c>
      <c r="F11" s="9" t="s">
        <v>147</v>
      </c>
    </row>
    <row r="12" customFormat="false" ht="15" hidden="false" customHeight="true" outlineLevel="0" collapsed="false">
      <c r="B12" s="14" t="s">
        <v>26</v>
      </c>
      <c r="C12" s="15" t="s">
        <v>155</v>
      </c>
      <c r="D12" s="15" t="s">
        <v>156</v>
      </c>
      <c r="E12" s="15" t="s">
        <v>157</v>
      </c>
      <c r="F12" s="15" t="s">
        <v>158</v>
      </c>
    </row>
    <row r="13" customFormat="false" ht="15" hidden="false" customHeight="true" outlineLevel="0" collapsed="false">
      <c r="B13" s="14" t="s">
        <v>159</v>
      </c>
      <c r="C13" s="46" t="s">
        <v>10</v>
      </c>
      <c r="D13" s="46" t="s">
        <v>160</v>
      </c>
      <c r="E13" s="46" t="s">
        <v>161</v>
      </c>
      <c r="F13" s="46" t="s">
        <v>162</v>
      </c>
    </row>
    <row r="16" customFormat="false" ht="15.75" hidden="false" customHeight="true" outlineLevel="0" collapsed="false">
      <c r="B16" s="17" t="s">
        <v>163</v>
      </c>
      <c r="C16" s="17"/>
      <c r="D16" s="17"/>
      <c r="E16" s="17"/>
      <c r="F16" s="17"/>
      <c r="G16" s="17"/>
      <c r="H16" s="17"/>
      <c r="I16" s="17"/>
    </row>
    <row r="17" customFormat="false" ht="15" hidden="false" customHeight="true" outlineLevel="0" collapsed="false">
      <c r="B17" s="7" t="s">
        <v>164</v>
      </c>
      <c r="C17" s="47" t="n">
        <v>0.18</v>
      </c>
      <c r="D17" s="47" t="n">
        <v>0.2</v>
      </c>
      <c r="E17" s="47" t="n">
        <v>0.22</v>
      </c>
      <c r="F17" s="47" t="n">
        <v>0.24</v>
      </c>
      <c r="G17" s="47" t="n">
        <v>0.26</v>
      </c>
      <c r="H17" s="47" t="n">
        <v>0.28</v>
      </c>
    </row>
    <row r="18" customFormat="false" ht="15" hidden="false" customHeight="true" outlineLevel="0" collapsed="false">
      <c r="B18" s="48" t="n">
        <v>8</v>
      </c>
      <c r="C18" s="49" t="n">
        <v>0.162522439021854</v>
      </c>
      <c r="D18" s="49" t="n">
        <v>0.191733700411402</v>
      </c>
      <c r="E18" s="50" t="n">
        <v>0.218333388237381</v>
      </c>
      <c r="F18" s="50" t="n">
        <v>0.242794508086816</v>
      </c>
      <c r="G18" s="51" t="n">
        <v>0.265468883291899</v>
      </c>
      <c r="H18" s="51" t="n">
        <v>0.286625784228319</v>
      </c>
    </row>
    <row r="19" customFormat="false" ht="15" hidden="false" customHeight="true" outlineLevel="0" collapsed="false">
      <c r="B19" s="48" t="n">
        <v>9</v>
      </c>
      <c r="C19" s="49" t="n">
        <v>0.19519032860448</v>
      </c>
      <c r="D19" s="50" t="n">
        <v>0.224633708456</v>
      </c>
      <c r="E19" s="51" t="n">
        <v>0.251490818720781</v>
      </c>
      <c r="F19" s="51" t="n">
        <v>0.276222682597349</v>
      </c>
      <c r="G19" s="51" t="n">
        <v>0.299173911244199</v>
      </c>
      <c r="H19" s="51" t="n">
        <v>0.320609321779744</v>
      </c>
    </row>
    <row r="20" customFormat="false" ht="15" hidden="false" customHeight="true" outlineLevel="0" collapsed="false">
      <c r="B20" s="48" t="n">
        <v>10</v>
      </c>
      <c r="C20" s="50" t="n">
        <v>0.224633708456</v>
      </c>
      <c r="D20" s="51" t="n">
        <v>0.254336610496948</v>
      </c>
      <c r="E20" s="51" t="n">
        <v>0.28146645919569</v>
      </c>
      <c r="F20" s="51" t="n">
        <v>0.306476198578092</v>
      </c>
      <c r="G20" s="51" t="n">
        <v>0.329705702743501</v>
      </c>
      <c r="H20" s="51" t="n">
        <v>0.351416970331977</v>
      </c>
    </row>
    <row r="21" customFormat="false" ht="15" hidden="false" customHeight="true" outlineLevel="0" collapsed="false">
      <c r="B21" s="48" t="n">
        <v>11</v>
      </c>
      <c r="C21" s="51" t="n">
        <v>0.251490818720781</v>
      </c>
      <c r="D21" s="51" t="n">
        <v>0.28146645919569</v>
      </c>
      <c r="E21" s="51" t="n">
        <v>0.308874415540721</v>
      </c>
      <c r="F21" s="51" t="n">
        <v>0.334162119032379</v>
      </c>
      <c r="G21" s="51" t="n">
        <v>0.357666337858646</v>
      </c>
      <c r="H21" s="51" t="n">
        <v>0.379647329995186</v>
      </c>
    </row>
    <row r="22" customFormat="false" ht="15" hidden="false" customHeight="true" outlineLevel="0" collapsed="false">
      <c r="B22" s="48" t="n">
        <v>12</v>
      </c>
      <c r="C22" s="51" t="n">
        <v>0.276222682597349</v>
      </c>
      <c r="D22" s="51" t="n">
        <v>0.306476198578092</v>
      </c>
      <c r="E22" s="51" t="n">
        <v>0.334162119032379</v>
      </c>
      <c r="F22" s="51" t="n">
        <v>0.359724123775941</v>
      </c>
      <c r="G22" s="51" t="n">
        <v>0.38349699471232</v>
      </c>
      <c r="H22" s="51" t="n">
        <v>0.405739987860687</v>
      </c>
    </row>
    <row r="23" customFormat="false" ht="15" hidden="false" customHeight="true" outlineLevel="0" collapsed="false">
      <c r="B23" s="48" t="n">
        <v>13</v>
      </c>
      <c r="C23" s="51" t="n">
        <v>0.299173911244199</v>
      </c>
      <c r="D23" s="51" t="n">
        <v>0.329705702743501</v>
      </c>
      <c r="E23" s="51" t="n">
        <v>0.357666337858646</v>
      </c>
      <c r="F23" s="51" t="n">
        <v>0.38349699471232</v>
      </c>
      <c r="G23" s="51" t="n">
        <v>0.407531262145543</v>
      </c>
      <c r="H23" s="51" t="n">
        <v>0.430027915911991</v>
      </c>
    </row>
    <row r="26" customFormat="false" ht="15.75" hidden="false" customHeight="true" outlineLevel="0" collapsed="false">
      <c r="B26" s="17" t="s">
        <v>165</v>
      </c>
      <c r="C26" s="17"/>
      <c r="D26" s="17"/>
      <c r="E26" s="17"/>
      <c r="F26" s="17"/>
      <c r="G26" s="17"/>
      <c r="H26" s="17"/>
      <c r="I26" s="17"/>
    </row>
    <row r="27" customFormat="false" ht="15" hidden="false" customHeight="true" outlineLevel="0" collapsed="false">
      <c r="B27" s="7" t="s">
        <v>166</v>
      </c>
      <c r="C27" s="7" t="s">
        <v>167</v>
      </c>
      <c r="D27" s="7" t="s">
        <v>168</v>
      </c>
      <c r="E27" s="7" t="s">
        <v>169</v>
      </c>
      <c r="F27" s="7" t="s">
        <v>170</v>
      </c>
      <c r="G27" s="7" t="s">
        <v>171</v>
      </c>
    </row>
    <row r="28" customFormat="false" ht="15" hidden="false" customHeight="true" outlineLevel="0" collapsed="false">
      <c r="B28" s="48" t="n">
        <v>7</v>
      </c>
      <c r="C28" s="52" t="n">
        <v>1.32797850085526</v>
      </c>
      <c r="D28" s="53" t="n">
        <v>1.62988436433618</v>
      </c>
      <c r="E28" s="53" t="n">
        <v>1.94371311194498</v>
      </c>
      <c r="F28" s="54" t="n">
        <v>2.2702993455706</v>
      </c>
      <c r="G28" s="55" t="n">
        <v>2.61053608923423</v>
      </c>
    </row>
    <row r="29" customFormat="false" ht="15" hidden="false" customHeight="true" outlineLevel="0" collapsed="false">
      <c r="B29" s="48" t="n">
        <v>8.5</v>
      </c>
      <c r="C29" s="53" t="n">
        <v>1.84938742773026</v>
      </c>
      <c r="D29" s="54" t="n">
        <v>2.18779191609244</v>
      </c>
      <c r="E29" s="55" t="n">
        <v>2.54067419232417</v>
      </c>
      <c r="F29" s="55" t="n">
        <v>2.90904770157634</v>
      </c>
      <c r="G29" s="56" t="n">
        <v>3.29399683016036</v>
      </c>
    </row>
    <row r="30" customFormat="false" ht="15" hidden="false" customHeight="true" outlineLevel="0" collapsed="false">
      <c r="B30" s="48" t="n">
        <v>10</v>
      </c>
      <c r="C30" s="54" t="n">
        <v>2.37079635460526</v>
      </c>
      <c r="D30" s="55" t="n">
        <v>2.74569946784869</v>
      </c>
      <c r="E30" s="56" t="n">
        <v>3.13763527270336</v>
      </c>
      <c r="F30" s="56" t="n">
        <v>3.54779605758207</v>
      </c>
      <c r="G30" s="56" t="n">
        <v>3.97745757108649</v>
      </c>
    </row>
    <row r="31" customFormat="false" ht="15" hidden="false" customHeight="true" outlineLevel="0" collapsed="false">
      <c r="B31" s="48" t="n">
        <v>11.5</v>
      </c>
      <c r="C31" s="55" t="n">
        <v>2.89220528148026</v>
      </c>
      <c r="D31" s="56" t="n">
        <v>3.30360701960494</v>
      </c>
      <c r="E31" s="56" t="n">
        <v>3.73459635308254</v>
      </c>
      <c r="F31" s="56" t="n">
        <v>4.1865444135878</v>
      </c>
      <c r="G31" s="56" t="n">
        <v>4.66091831201263</v>
      </c>
    </row>
    <row r="32" customFormat="false" ht="15" hidden="false" customHeight="true" outlineLevel="0" collapsed="false">
      <c r="B32" s="48" t="n">
        <v>13</v>
      </c>
      <c r="C32" s="56" t="n">
        <v>3.41361420835526</v>
      </c>
      <c r="D32" s="56" t="n">
        <v>3.86151457136119</v>
      </c>
      <c r="E32" s="56" t="n">
        <v>4.33155743346173</v>
      </c>
      <c r="F32" s="56" t="n">
        <v>4.82529276959353</v>
      </c>
      <c r="G32" s="56" t="n">
        <v>5.34437905293876</v>
      </c>
    </row>
    <row r="35" customFormat="false" ht="15.75" hidden="false" customHeight="true" outlineLevel="0" collapsed="false">
      <c r="B35" s="17" t="s">
        <v>172</v>
      </c>
      <c r="C35" s="17"/>
      <c r="D35" s="17"/>
      <c r="E35" s="17"/>
      <c r="F35" s="17"/>
      <c r="G35" s="17"/>
      <c r="H35" s="17"/>
      <c r="I35" s="17"/>
    </row>
    <row r="36" customFormat="false" ht="15" hidden="false" customHeight="true" outlineLevel="0" collapsed="false">
      <c r="B36" s="7" t="s">
        <v>126</v>
      </c>
      <c r="C36" s="7" t="s">
        <v>173</v>
      </c>
      <c r="E36" s="7" t="s">
        <v>174</v>
      </c>
      <c r="G36" s="7" t="s">
        <v>175</v>
      </c>
    </row>
    <row r="37" customFormat="false" ht="15" hidden="false" customHeight="true" outlineLevel="0" collapsed="false">
      <c r="B37" s="18" t="s">
        <v>176</v>
      </c>
      <c r="C37" s="57" t="s">
        <v>177</v>
      </c>
      <c r="D37" s="57"/>
      <c r="E37" s="58" t="s">
        <v>178</v>
      </c>
      <c r="F37" s="58"/>
      <c r="G37" s="59" t="s">
        <v>51</v>
      </c>
      <c r="H37" s="59"/>
    </row>
    <row r="38" customFormat="false" ht="15" hidden="false" customHeight="true" outlineLevel="0" collapsed="false">
      <c r="B38" s="20" t="s">
        <v>179</v>
      </c>
      <c r="C38" s="57" t="s">
        <v>180</v>
      </c>
      <c r="D38" s="57"/>
      <c r="E38" s="58" t="s">
        <v>142</v>
      </c>
      <c r="F38" s="58"/>
      <c r="G38" s="59" t="s">
        <v>181</v>
      </c>
      <c r="H38" s="59"/>
    </row>
    <row r="39" customFormat="false" ht="15" hidden="false" customHeight="true" outlineLevel="0" collapsed="false">
      <c r="B39" s="18" t="s">
        <v>182</v>
      </c>
      <c r="C39" s="57" t="s">
        <v>183</v>
      </c>
      <c r="D39" s="57"/>
      <c r="E39" s="58" t="s">
        <v>18</v>
      </c>
      <c r="F39" s="58"/>
      <c r="G39" s="59" t="s">
        <v>184</v>
      </c>
      <c r="H39" s="59"/>
    </row>
    <row r="40" customFormat="false" ht="15" hidden="false" customHeight="true" outlineLevel="0" collapsed="false">
      <c r="B40" s="20" t="s">
        <v>88</v>
      </c>
      <c r="C40" s="57" t="s">
        <v>185</v>
      </c>
      <c r="D40" s="57"/>
      <c r="E40" s="58" t="s">
        <v>154</v>
      </c>
      <c r="F40" s="58"/>
      <c r="G40" s="59" t="s">
        <v>186</v>
      </c>
      <c r="H40" s="59"/>
    </row>
    <row r="41" customFormat="false" ht="15" hidden="false" customHeight="true" outlineLevel="0" collapsed="false">
      <c r="B41" s="18" t="s">
        <v>187</v>
      </c>
      <c r="C41" s="57" t="s">
        <v>188</v>
      </c>
      <c r="D41" s="57"/>
      <c r="E41" s="58" t="s">
        <v>157</v>
      </c>
      <c r="F41" s="58"/>
      <c r="G41" s="59" t="s">
        <v>189</v>
      </c>
      <c r="H41" s="59"/>
    </row>
    <row r="42" customFormat="false" ht="15" hidden="false" customHeight="true" outlineLevel="0" collapsed="false">
      <c r="B42" s="20" t="s">
        <v>190</v>
      </c>
      <c r="C42" s="57" t="s">
        <v>191</v>
      </c>
      <c r="D42" s="57"/>
      <c r="E42" s="58" t="s">
        <v>161</v>
      </c>
      <c r="F42" s="58"/>
      <c r="G42" s="59" t="s">
        <v>192</v>
      </c>
      <c r="H42" s="59"/>
    </row>
  </sheetData>
  <mergeCells count="5">
    <mergeCell ref="B1:I1"/>
    <mergeCell ref="B3:I3"/>
    <mergeCell ref="B16:I16"/>
    <mergeCell ref="B26:I26"/>
    <mergeCell ref="B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2026-03-17T00:09:09Z</dcterms:created>
  <dc:creator>openpyxl</dc:creator>
  <dc:description/>
  <dc:language>en-US</dc:language>
  <cp:lastModifiedBy/>
  <dcterms:modified xsi:type="dcterms:W3CDTF">2026-03-17T00:18:11Z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