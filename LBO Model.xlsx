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ransaction Assumptions" sheetId="2" state="visible" r:id="rId2"/>
    <sheet xmlns:r="http://schemas.openxmlformats.org/officeDocument/2006/relationships" name="Operating Model" sheetId="3" state="visible" r:id="rId3"/>
    <sheet xmlns:r="http://schemas.openxmlformats.org/officeDocument/2006/relationships" name="Returns Analysi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;&quot;($&quot;#,##0.0\);\-"/>
    <numFmt numFmtId="165" formatCode="0.0%"/>
    <numFmt numFmtId="166" formatCode="0.0\x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20"/>
    </font>
    <font>
      <name val="Arial"/>
      <charset val="1"/>
      <family val="0"/>
      <color rgb="FF595959"/>
      <sz val="11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0000FF"/>
      <sz val="9"/>
    </font>
    <font>
      <name val="Arial"/>
      <charset val="1"/>
      <family val="0"/>
      <sz val="9"/>
    </font>
    <font>
      <name val="Arial"/>
      <charset val="1"/>
      <family val="0"/>
      <color rgb="FFFF0000"/>
      <sz val="9"/>
    </font>
    <font>
      <name val="Arial"/>
      <charset val="1"/>
      <family val="0"/>
      <b val="1"/>
      <color rgb="FF0000FF"/>
      <sz val="9"/>
    </font>
    <font>
      <name val="Arial"/>
      <charset val="1"/>
      <family val="0"/>
      <b val="1"/>
      <color rgb="FF00B050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0000"/>
      <sz val="9"/>
    </font>
    <font>
      <name val="Arial"/>
      <charset val="1"/>
      <family val="0"/>
      <b val="1"/>
      <color rgb="FF595959"/>
      <sz val="9"/>
    </font>
  </fonts>
  <fills count="17">
    <fill>
      <patternFill/>
    </fill>
    <fill>
      <patternFill patternType="gray125"/>
    </fill>
    <fill>
      <patternFill patternType="solid">
        <fgColor rgb="FFC9A84C"/>
        <bgColor rgb="FFFF9900"/>
      </patternFill>
    </fill>
    <fill>
      <patternFill patternType="solid">
        <fgColor rgb="FF7B4FB6"/>
        <bgColor rgb="FF595959"/>
      </patternFill>
    </fill>
    <fill>
      <patternFill patternType="solid">
        <fgColor rgb="FFF2F2F2"/>
        <bgColor rgb="FFEDE4F8"/>
      </patternFill>
    </fill>
    <fill>
      <patternFill patternType="solid">
        <fgColor rgb="FFFFFFFF"/>
        <bgColor rgb="FFF2F2F2"/>
      </patternFill>
    </fill>
    <fill>
      <patternFill patternType="solid">
        <fgColor rgb="FFC9B8E8"/>
        <bgColor rgb="FFCC99FF"/>
      </patternFill>
    </fill>
    <fill>
      <patternFill patternType="solid">
        <fgColor rgb="FF3B1F64"/>
        <bgColor rgb="FF333399"/>
      </patternFill>
    </fill>
    <fill>
      <patternFill patternType="solid">
        <fgColor rgb="FFEDE4F8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9A84C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FFD7D7"/>
        <bgColor rgb="FFEDE4F8"/>
      </patternFill>
    </fill>
    <fill>
      <patternFill patternType="solid">
        <fgColor rgb="FFFFF2CC"/>
        <bgColor rgb="FFF2F2F2"/>
      </patternFill>
    </fill>
    <fill>
      <patternFill patternType="solid">
        <fgColor rgb="FFD7F0D7"/>
        <bgColor rgb="FFF2F2F2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general" vertical="bottom"/>
    </xf>
    <xf numFmtId="164" fontId="12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center" vertical="center"/>
    </xf>
    <xf numFmtId="165" fontId="10" fillId="4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165" fontId="13" fillId="4" borderId="0" applyAlignment="1" pivotButton="0" quotePrefix="0" xfId="0">
      <alignment horizontal="center" vertical="bottom"/>
    </xf>
    <xf numFmtId="165" fontId="13" fillId="5" borderId="0" applyAlignment="1" pivotButton="0" quotePrefix="0" xfId="0">
      <alignment horizontal="center" vertical="bottom"/>
    </xf>
    <xf numFmtId="0" fontId="9" fillId="6" borderId="0" applyAlignment="1" pivotButton="0" quotePrefix="0" xfId="0">
      <alignment horizontal="general" vertical="bottom"/>
    </xf>
    <xf numFmtId="164" fontId="9" fillId="6" borderId="0" applyAlignment="1" pivotButton="0" quotePrefix="0" xfId="0">
      <alignment horizontal="center" vertical="center"/>
    </xf>
    <xf numFmtId="165" fontId="9" fillId="6" borderId="0" applyAlignment="1" pivotButton="0" quotePrefix="0" xfId="0">
      <alignment horizontal="center" vertical="center"/>
    </xf>
    <xf numFmtId="165" fontId="12" fillId="4" borderId="0" applyAlignment="1" pivotButton="0" quotePrefix="0" xfId="0">
      <alignment horizontal="center" vertical="center"/>
    </xf>
    <xf numFmtId="165" fontId="12" fillId="5" borderId="0" applyAlignment="1" pivotButton="0" quotePrefix="0" xfId="0">
      <alignment horizontal="center" vertical="center"/>
    </xf>
    <xf numFmtId="1" fontId="12" fillId="4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166" fontId="12" fillId="4" borderId="0" applyAlignment="1" pivotButton="0" quotePrefix="0" xfId="0">
      <alignment horizontal="center" vertical="center"/>
    </xf>
    <xf numFmtId="164" fontId="12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general" vertical="bottom"/>
    </xf>
    <xf numFmtId="164" fontId="8" fillId="7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general" vertical="bottom"/>
    </xf>
    <xf numFmtId="164" fontId="14" fillId="4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general" vertical="bottom"/>
    </xf>
    <xf numFmtId="164" fontId="9" fillId="8" borderId="0" applyAlignment="1" pivotButton="0" quotePrefix="0" xfId="0">
      <alignment horizontal="center" vertical="center"/>
    </xf>
    <xf numFmtId="166" fontId="10" fillId="4" borderId="0" applyAlignment="1" pivotButton="0" quotePrefix="0" xfId="0">
      <alignment horizontal="center" vertical="center"/>
    </xf>
    <xf numFmtId="166" fontId="10" fillId="5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center" vertical="center"/>
    </xf>
    <xf numFmtId="9" fontId="8" fillId="3" borderId="0" applyAlignment="1" pivotButton="0" quotePrefix="0" xfId="0">
      <alignment horizontal="center" vertical="center"/>
    </xf>
    <xf numFmtId="166" fontId="8" fillId="3" borderId="0" applyAlignment="1" pivotButton="0" quotePrefix="0" xfId="0">
      <alignment horizontal="center" vertical="center"/>
    </xf>
    <xf numFmtId="165" fontId="13" fillId="9" borderId="0" applyAlignment="1" pivotButton="0" quotePrefix="0" xfId="0">
      <alignment horizontal="center" vertical="center"/>
    </xf>
    <xf numFmtId="165" fontId="13" fillId="10" borderId="0" applyAlignment="1" pivotButton="0" quotePrefix="0" xfId="0">
      <alignment horizontal="center" vertical="center"/>
    </xf>
    <xf numFmtId="165" fontId="8" fillId="11" borderId="0" applyAlignment="1" pivotButton="0" quotePrefix="0" xfId="0">
      <alignment horizontal="center" vertical="center"/>
    </xf>
    <xf numFmtId="166" fontId="17" fillId="12" borderId="0" applyAlignment="1" pivotButton="0" quotePrefix="0" xfId="0">
      <alignment horizontal="center" vertical="center"/>
    </xf>
    <xf numFmtId="166" fontId="13" fillId="13" borderId="0" applyAlignment="1" pivotButton="0" quotePrefix="0" xfId="0">
      <alignment horizontal="center" vertical="center"/>
    </xf>
    <xf numFmtId="166" fontId="13" fillId="9" borderId="0" applyAlignment="1" pivotButton="0" quotePrefix="0" xfId="0">
      <alignment horizontal="center" vertical="center"/>
    </xf>
    <xf numFmtId="166" fontId="13" fillId="10" borderId="0" applyAlignment="1" pivotButton="0" quotePrefix="0" xfId="0">
      <alignment horizontal="center" vertical="center"/>
    </xf>
    <xf numFmtId="166" fontId="8" fillId="11" borderId="0" applyAlignment="1" pivotButton="0" quotePrefix="0" xfId="0">
      <alignment horizontal="center" vertical="center"/>
    </xf>
    <xf numFmtId="0" fontId="18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0" fontId="16" fillId="1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general" vertical="bottom"/>
    </xf>
    <xf numFmtId="164" fontId="12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center" vertical="center"/>
    </xf>
    <xf numFmtId="165" fontId="10" fillId="4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165" fontId="13" fillId="4" borderId="0" applyAlignment="1" pivotButton="0" quotePrefix="0" xfId="0">
      <alignment horizontal="center" vertical="bottom"/>
    </xf>
    <xf numFmtId="165" fontId="13" fillId="5" borderId="0" applyAlignment="1" pivotButton="0" quotePrefix="0" xfId="0">
      <alignment horizontal="center" vertical="bottom"/>
    </xf>
    <xf numFmtId="0" fontId="9" fillId="6" borderId="0" applyAlignment="1" pivotButton="0" quotePrefix="0" xfId="0">
      <alignment horizontal="general" vertical="bottom"/>
    </xf>
    <xf numFmtId="164" fontId="9" fillId="6" borderId="0" applyAlignment="1" pivotButton="0" quotePrefix="0" xfId="0">
      <alignment horizontal="center" vertical="center"/>
    </xf>
    <xf numFmtId="165" fontId="9" fillId="6" borderId="0" applyAlignment="1" pivotButton="0" quotePrefix="0" xfId="0">
      <alignment horizontal="center" vertical="center"/>
    </xf>
    <xf numFmtId="165" fontId="12" fillId="4" borderId="0" applyAlignment="1" pivotButton="0" quotePrefix="0" xfId="0">
      <alignment horizontal="center" vertical="center"/>
    </xf>
    <xf numFmtId="165" fontId="12" fillId="5" borderId="0" applyAlignment="1" pivotButton="0" quotePrefix="0" xfId="0">
      <alignment horizontal="center" vertical="center"/>
    </xf>
    <xf numFmtId="1" fontId="12" fillId="4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166" fontId="12" fillId="4" borderId="0" applyAlignment="1" pivotButton="0" quotePrefix="0" xfId="0">
      <alignment horizontal="center" vertical="center"/>
    </xf>
    <xf numFmtId="164" fontId="12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general" vertical="bottom"/>
    </xf>
    <xf numFmtId="164" fontId="8" fillId="7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general" vertical="bottom"/>
    </xf>
    <xf numFmtId="164" fontId="14" fillId="4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general" vertical="bottom"/>
    </xf>
    <xf numFmtId="164" fontId="9" fillId="8" borderId="0" applyAlignment="1" pivotButton="0" quotePrefix="0" xfId="0">
      <alignment horizontal="center" vertical="center"/>
    </xf>
    <xf numFmtId="166" fontId="10" fillId="4" borderId="0" applyAlignment="1" pivotButton="0" quotePrefix="0" xfId="0">
      <alignment horizontal="center" vertical="center"/>
    </xf>
    <xf numFmtId="166" fontId="10" fillId="5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center" vertical="center"/>
    </xf>
    <xf numFmtId="9" fontId="8" fillId="3" borderId="0" applyAlignment="1" pivotButton="0" quotePrefix="0" xfId="0">
      <alignment horizontal="center" vertical="center"/>
    </xf>
    <xf numFmtId="166" fontId="8" fillId="3" borderId="0" applyAlignment="1" pivotButton="0" quotePrefix="0" xfId="0">
      <alignment horizontal="center" vertical="center"/>
    </xf>
    <xf numFmtId="165" fontId="13" fillId="9" borderId="0" applyAlignment="1" pivotButton="0" quotePrefix="0" xfId="0">
      <alignment horizontal="center" vertical="center"/>
    </xf>
    <xf numFmtId="165" fontId="13" fillId="10" borderId="0" applyAlignment="1" pivotButton="0" quotePrefix="0" xfId="0">
      <alignment horizontal="center" vertical="center"/>
    </xf>
    <xf numFmtId="165" fontId="8" fillId="11" borderId="0" applyAlignment="1" pivotButton="0" quotePrefix="0" xfId="0">
      <alignment horizontal="center" vertical="center"/>
    </xf>
    <xf numFmtId="166" fontId="17" fillId="12" borderId="0" applyAlignment="1" pivotButton="0" quotePrefix="0" xfId="0">
      <alignment horizontal="center" vertical="center"/>
    </xf>
    <xf numFmtId="166" fontId="13" fillId="13" borderId="0" applyAlignment="1" pivotButton="0" quotePrefix="0" xfId="0">
      <alignment horizontal="center" vertical="center"/>
    </xf>
    <xf numFmtId="166" fontId="13" fillId="9" borderId="0" applyAlignment="1" pivotButton="0" quotePrefix="0" xfId="0">
      <alignment horizontal="center" vertical="center"/>
    </xf>
    <xf numFmtId="166" fontId="13" fillId="10" borderId="0" applyAlignment="1" pivotButton="0" quotePrefix="0" xfId="0">
      <alignment horizontal="center" vertical="center"/>
    </xf>
    <xf numFmtId="166" fontId="8" fillId="11" borderId="0" applyAlignment="1" pivotButton="0" quotePrefix="0" xfId="0">
      <alignment horizontal="center" vertical="center"/>
    </xf>
    <xf numFmtId="0" fontId="18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0" fontId="16" fillId="16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8E8"/>
      <rgbColor rgb="FF595959"/>
      <rgbColor rgb="FF9999FF"/>
      <rgbColor rgb="FF993366"/>
      <rgbColor rgb="FFFFF2CC"/>
      <rgbColor rgb="FFF2F2F2"/>
      <rgbColor rgb="FF660066"/>
      <rgbColor rgb="FFFF8080"/>
      <rgbColor rgb="FF0066CC"/>
      <rgbColor rgb="FFEDE4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0D7"/>
      <rgbColor rgb="FFFFFF99"/>
      <rgbColor rgb="FF99CCFF"/>
      <rgbColor rgb="FFFF99CC"/>
      <rgbColor rgb="FFCC99FF"/>
      <rgbColor rgb="FFFFD7D7"/>
      <rgbColor rgb="FF3366FF"/>
      <rgbColor rgb="FF33CCCC"/>
      <rgbColor rgb="FF92D050"/>
      <rgbColor rgb="FFFFC000"/>
      <rgbColor rgb="FFFF9900"/>
      <rgbColor rgb="FFFF6600"/>
      <rgbColor rgb="FF7B4FB6"/>
      <rgbColor rgb="FFC9A84C"/>
      <rgbColor rgb="FF1F3864"/>
      <rgbColor rgb="FF00B050"/>
      <rgbColor rgb="FF003300"/>
      <rgbColor rgb="FF333300"/>
      <rgbColor rgb="FF993300"/>
      <rgbColor rgb="FF993366"/>
      <rgbColor rgb="FF333399"/>
      <rgbColor rgb="FF3B1F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0" min="1" max="1"/>
    <col width="30" customWidth="1" style="60" min="2" max="2"/>
    <col width="20" customWidth="1" style="60" min="3" max="5"/>
    <col width="3" customWidth="1" style="60" min="6" max="6"/>
  </cols>
  <sheetData>
    <row r="1"/>
    <row r="2" ht="24" customHeight="1" s="61">
      <c r="B2" s="62" t="inlineStr">
        <is>
          <t>APEX INDUSTRIAL SOLUTIONS</t>
        </is>
      </c>
    </row>
    <row r="3" ht="15" customHeight="1" s="61">
      <c r="B3" s="63" t="inlineStr">
        <is>
          <t>Leveraged Buyout (LBO) Analysis | Private Equity Acquisition Model</t>
        </is>
      </c>
    </row>
    <row r="4" ht="15" customHeight="1" s="61">
      <c r="B4" s="64" t="inlineStr">
        <is>
          <t>Industrial Manufacturing &amp; Distribution | Revenue: $380mm | EBITDA: $76mm</t>
        </is>
      </c>
    </row>
    <row r="5" ht="15" customHeight="1" s="61">
      <c r="B5" s="65" t="n"/>
      <c r="C5" s="65" t="n"/>
      <c r="D5" s="65" t="n"/>
      <c r="E5" s="65" t="n"/>
    </row>
    <row r="6"/>
    <row r="7" ht="15" customHeight="1" s="61">
      <c r="B7" s="66" t="inlineStr">
        <is>
          <t>TRANSACTION OVERVIEW</t>
        </is>
      </c>
    </row>
    <row r="8" ht="15" customHeight="1" s="61">
      <c r="B8" s="67" t="inlineStr">
        <is>
          <t>Parameter</t>
        </is>
      </c>
      <c r="C8" s="67" t="inlineStr">
        <is>
          <t>Entry (2024)</t>
        </is>
      </c>
      <c r="D8" s="67" t="inlineStr">
        <is>
          <t>Exit (2029E)</t>
        </is>
      </c>
      <c r="E8" s="67" t="inlineStr">
        <is>
          <t>Delta</t>
        </is>
      </c>
    </row>
    <row r="9" ht="15" customHeight="1" s="61">
      <c r="B9" s="68" t="inlineStr">
        <is>
          <t>Entry EBITDA ($mm)</t>
        </is>
      </c>
      <c r="C9" s="69" t="inlineStr">
        <is>
          <t>$76.0</t>
        </is>
      </c>
      <c r="D9" s="69" t="inlineStr">
        <is>
          <t>—</t>
        </is>
      </c>
      <c r="E9" s="69" t="inlineStr">
        <is>
          <t>—</t>
        </is>
      </c>
    </row>
    <row r="10" ht="15" customHeight="1" s="61">
      <c r="B10" s="70" t="inlineStr">
        <is>
          <t>Entry EV/EBITDA Multiple</t>
        </is>
      </c>
      <c r="C10" s="71" t="inlineStr">
        <is>
          <t>10.0x</t>
        </is>
      </c>
      <c r="D10" s="71" t="inlineStr">
        <is>
          <t>—</t>
        </is>
      </c>
      <c r="E10" s="71" t="inlineStr">
        <is>
          <t>—</t>
        </is>
      </c>
    </row>
    <row r="11" ht="15" customHeight="1" s="61">
      <c r="B11" s="68" t="inlineStr">
        <is>
          <t>Enterprise Value ($mm)</t>
        </is>
      </c>
      <c r="C11" s="69" t="inlineStr">
        <is>
          <t>$760</t>
        </is>
      </c>
      <c r="D11" s="69" t="inlineStr">
        <is>
          <t>$1,276</t>
        </is>
      </c>
      <c r="E11" s="69" t="inlineStr">
        <is>
          <t>+$516mm</t>
        </is>
      </c>
    </row>
    <row r="12" ht="15" customHeight="1" s="61">
      <c r="B12" s="70" t="inlineStr">
        <is>
          <t>Exit EBITDA Multiple</t>
        </is>
      </c>
      <c r="C12" s="71" t="inlineStr">
        <is>
          <t>—</t>
        </is>
      </c>
      <c r="D12" s="71" t="inlineStr">
        <is>
          <t>10.5x</t>
        </is>
      </c>
      <c r="E12" s="71" t="inlineStr">
        <is>
          <t>+0.5x</t>
        </is>
      </c>
    </row>
    <row r="13" ht="15" customHeight="1" s="61">
      <c r="B13" s="68" t="inlineStr">
        <is>
          <t>Exit EBITDA ($mm)</t>
        </is>
      </c>
      <c r="C13" s="69" t="inlineStr">
        <is>
          <t>—</t>
        </is>
      </c>
      <c r="D13" s="69" t="inlineStr">
        <is>
          <t>—</t>
        </is>
      </c>
      <c r="E13" s="69" t="inlineStr">
        <is>
          <t>$121mm</t>
        </is>
      </c>
    </row>
    <row r="14" ht="15" customHeight="1" s="61">
      <c r="B14" s="70" t="inlineStr">
        <is>
          <t>Total Equity Investment ($mm)</t>
        </is>
      </c>
      <c r="C14" s="71" t="inlineStr">
        <is>
          <t>$304</t>
        </is>
      </c>
      <c r="D14" s="71" t="inlineStr">
        <is>
          <t>—</t>
        </is>
      </c>
      <c r="E14" s="71" t="inlineStr">
        <is>
          <t>—</t>
        </is>
      </c>
    </row>
    <row r="15" ht="15" customHeight="1" s="61">
      <c r="B15" s="68" t="inlineStr">
        <is>
          <t>Equity Proceeds ($mm)</t>
        </is>
      </c>
      <c r="C15" s="69" t="inlineStr">
        <is>
          <t>—</t>
        </is>
      </c>
      <c r="D15" s="69" t="inlineStr">
        <is>
          <t>$638</t>
        </is>
      </c>
      <c r="E15" s="69" t="inlineStr">
        <is>
          <t>—</t>
        </is>
      </c>
    </row>
    <row r="16" ht="15" customHeight="1" s="61">
      <c r="B16" s="70" t="inlineStr">
        <is>
          <t>Money-on-Money (MoM)</t>
        </is>
      </c>
      <c r="C16" s="71" t="inlineStr">
        <is>
          <t>—</t>
        </is>
      </c>
      <c r="D16" s="71" t="inlineStr">
        <is>
          <t>2.1x</t>
        </is>
      </c>
      <c r="E16" s="71" t="inlineStr">
        <is>
          <t>—</t>
        </is>
      </c>
    </row>
    <row r="17" ht="15" customHeight="1" s="61">
      <c r="B17" s="68" t="inlineStr">
        <is>
          <t>IRR (5-year Hold)</t>
        </is>
      </c>
      <c r="C17" s="69" t="inlineStr">
        <is>
          <t>—</t>
        </is>
      </c>
      <c r="D17" s="69" t="inlineStr">
        <is>
          <t>16.1%</t>
        </is>
      </c>
      <c r="E17" s="69" t="inlineStr">
        <is>
          <t>—</t>
        </is>
      </c>
    </row>
    <row r="18" ht="15" customHeight="1" s="61">
      <c r="B18" s="70" t="inlineStr">
        <is>
          <t>IRR (3-year Hold)</t>
        </is>
      </c>
      <c r="C18" s="71" t="inlineStr">
        <is>
          <t>—</t>
        </is>
      </c>
      <c r="D18" s="71" t="inlineStr">
        <is>
          <t>22.4%</t>
        </is>
      </c>
      <c r="E18" s="71" t="inlineStr">
        <is>
          <t>—</t>
        </is>
      </c>
    </row>
    <row r="19"/>
    <row r="20"/>
    <row r="21" ht="15" customHeight="1" s="61">
      <c r="B21" s="66" t="inlineStr">
        <is>
          <t>CAPITAL STRUCTURE</t>
        </is>
      </c>
    </row>
    <row r="22" ht="15" customHeight="1" s="61">
      <c r="B22" s="67" t="inlineStr">
        <is>
          <t>Tranche</t>
        </is>
      </c>
      <c r="C22" s="67" t="inlineStr">
        <is>
          <t>Amount ($mm)</t>
        </is>
      </c>
      <c r="D22" s="67" t="inlineStr">
        <is>
          <t>% of Total</t>
        </is>
      </c>
      <c r="E22" s="67" t="inlineStr">
        <is>
          <t>Pricing</t>
        </is>
      </c>
    </row>
    <row r="23" ht="15" customHeight="1" s="61">
      <c r="B23" s="72" t="inlineStr">
        <is>
          <t>Revolving Credit Facility</t>
        </is>
      </c>
      <c r="C23" s="69" t="inlineStr">
        <is>
          <t>$0</t>
        </is>
      </c>
      <c r="D23" s="69" t="inlineStr">
        <is>
          <t>0%</t>
        </is>
      </c>
      <c r="E23" s="69" t="inlineStr">
        <is>
          <t>SOFR+200bps</t>
        </is>
      </c>
    </row>
    <row r="24" ht="15" customHeight="1" s="61">
      <c r="B24" s="73" t="inlineStr">
        <is>
          <t>Term Loan A (TLA)</t>
        </is>
      </c>
      <c r="C24" s="71" t="inlineStr">
        <is>
          <t>$152</t>
        </is>
      </c>
      <c r="D24" s="71" t="inlineStr">
        <is>
          <t>20%</t>
        </is>
      </c>
      <c r="E24" s="71" t="inlineStr">
        <is>
          <t>SOFR+225bps</t>
        </is>
      </c>
    </row>
    <row r="25" ht="15" customHeight="1" s="61">
      <c r="B25" s="72" t="inlineStr">
        <is>
          <t>Term Loan B (TLB)</t>
        </is>
      </c>
      <c r="C25" s="69" t="inlineStr">
        <is>
          <t>$228</t>
        </is>
      </c>
      <c r="D25" s="69" t="inlineStr">
        <is>
          <t>30%</t>
        </is>
      </c>
      <c r="E25" s="69" t="inlineStr">
        <is>
          <t>SOFR+350bps</t>
        </is>
      </c>
    </row>
    <row r="26" ht="15" customHeight="1" s="61">
      <c r="B26" s="73" t="inlineStr">
        <is>
          <t>Senior Notes</t>
        </is>
      </c>
      <c r="C26" s="71" t="inlineStr">
        <is>
          <t>$76</t>
        </is>
      </c>
      <c r="D26" s="71" t="inlineStr">
        <is>
          <t>10%</t>
        </is>
      </c>
      <c r="E26" s="71" t="inlineStr">
        <is>
          <t>7.50% Fixed</t>
        </is>
      </c>
    </row>
    <row r="27" ht="15" customHeight="1" s="61">
      <c r="B27" s="74" t="inlineStr">
        <is>
          <t>Total Debt</t>
        </is>
      </c>
      <c r="C27" s="75" t="inlineStr">
        <is>
          <t>$456</t>
        </is>
      </c>
      <c r="D27" s="75" t="inlineStr">
        <is>
          <t>60%</t>
        </is>
      </c>
      <c r="E27" s="75" t="inlineStr">
        <is>
          <t>~6.2% Blended</t>
        </is>
      </c>
    </row>
    <row r="28" ht="15" customHeight="1" s="61">
      <c r="B28" s="73" t="inlineStr">
        <is>
          <t>Sponsor Equity</t>
        </is>
      </c>
      <c r="C28" s="71" t="inlineStr">
        <is>
          <t>$304</t>
        </is>
      </c>
      <c r="D28" s="71" t="inlineStr">
        <is>
          <t>40%</t>
        </is>
      </c>
      <c r="E28" s="71" t="inlineStr">
        <is>
          <t>—</t>
        </is>
      </c>
    </row>
    <row r="29" ht="15" customHeight="1" s="61">
      <c r="B29" s="74" t="inlineStr">
        <is>
          <t>Total Capitalization</t>
        </is>
      </c>
      <c r="C29" s="75" t="inlineStr">
        <is>
          <t>$760</t>
        </is>
      </c>
      <c r="D29" s="75" t="inlineStr">
        <is>
          <t>100%</t>
        </is>
      </c>
      <c r="E29" s="75" t="inlineStr">
        <is>
          <t>—</t>
        </is>
      </c>
    </row>
  </sheetData>
  <mergeCells count="5">
    <mergeCell ref="B4:E4"/>
    <mergeCell ref="B21:E21"/>
    <mergeCell ref="B7:E7"/>
    <mergeCell ref="B3:E3"/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0" min="1" max="1"/>
    <col width="35" customWidth="1" style="60" min="2" max="2"/>
    <col width="20" customWidth="1" style="60" min="3" max="5"/>
  </cols>
  <sheetData>
    <row r="1" ht="15.75" customHeight="1" s="61">
      <c r="B1" s="76" t="inlineStr">
        <is>
          <t>APEX INDUSTRIAL — TRANSACTION ASSUMPTIONS</t>
        </is>
      </c>
    </row>
    <row r="2"/>
    <row r="3" ht="15.75" customHeight="1" s="61">
      <c r="B3" s="77" t="inlineStr">
        <is>
          <t>ENTRY ASSUMPTIONS</t>
        </is>
      </c>
    </row>
    <row r="4" ht="15" customHeight="1" s="61">
      <c r="B4" s="78" t="inlineStr">
        <is>
          <t>LTM Revenue ($mm)</t>
        </is>
      </c>
      <c r="C4" s="79" t="n">
        <v>380</v>
      </c>
    </row>
    <row r="5" ht="15" customHeight="1" s="61">
      <c r="B5" s="80" t="inlineStr">
        <is>
          <t>LTM EBITDA ($mm)</t>
        </is>
      </c>
      <c r="C5" s="81" t="n">
        <v>76</v>
      </c>
    </row>
    <row r="6" ht="15" customHeight="1" s="61">
      <c r="B6" s="78" t="inlineStr">
        <is>
          <t>LTM EBITDA Margin</t>
        </is>
      </c>
      <c r="C6" s="82">
        <f>C5/C4</f>
        <v/>
      </c>
    </row>
    <row r="7" ht="15" customHeight="1" s="61">
      <c r="B7" s="80" t="inlineStr">
        <is>
          <t>Entry EV/EBITDA Multiple</t>
        </is>
      </c>
      <c r="C7" s="83" t="n">
        <v>10</v>
      </c>
    </row>
    <row r="8" ht="15" customHeight="1" s="61">
      <c r="B8" s="78" t="inlineStr">
        <is>
          <t>Enterprise Value ($mm)</t>
        </is>
      </c>
      <c r="C8" s="84">
        <f>C5*C7</f>
        <v/>
      </c>
    </row>
    <row r="9" ht="15" customHeight="1" s="61">
      <c r="B9" s="80" t="inlineStr">
        <is>
          <t>Net Debt at Close ($mm)</t>
        </is>
      </c>
      <c r="C9" s="81" t="n">
        <v>0</v>
      </c>
    </row>
    <row r="10" ht="15" customHeight="1" s="61">
      <c r="B10" s="78" t="inlineStr">
        <is>
          <t>Equity Value at Entry ($mm)</t>
        </is>
      </c>
      <c r="C10" s="84">
        <f>C8-C9</f>
        <v/>
      </c>
    </row>
    <row r="11" ht="15" customHeight="1" s="61">
      <c r="B11" s="80" t="inlineStr">
        <is>
          <t>Transaction Fees ($mm)</t>
        </is>
      </c>
      <c r="C11" s="81" t="n">
        <v>15.2</v>
      </c>
    </row>
    <row r="12" ht="15" customHeight="1" s="61">
      <c r="B12" s="78" t="inlineStr">
        <is>
          <t>Total Uses of Cash ($mm)</t>
        </is>
      </c>
      <c r="C12" s="84">
        <f>C10+C11</f>
        <v/>
      </c>
    </row>
    <row r="13"/>
    <row r="14"/>
    <row r="15"/>
    <row r="16" ht="15.75" customHeight="1" s="61">
      <c r="B16" s="77" t="inlineStr">
        <is>
          <t>SOURCES &amp; USES OF CAPITAL</t>
        </is>
      </c>
    </row>
    <row r="17" ht="15" customHeight="1" s="61">
      <c r="B17" s="85" t="inlineStr">
        <is>
          <t>Component</t>
        </is>
      </c>
      <c r="C17" s="67" t="inlineStr">
        <is>
          <t>Amount ($mm)</t>
        </is>
      </c>
      <c r="D17" s="67" t="inlineStr">
        <is>
          <t>% of Total</t>
        </is>
      </c>
    </row>
    <row r="18" ht="15" customHeight="1" s="61">
      <c r="B18" s="78" t="inlineStr">
        <is>
          <t>Revolving Credit Facility</t>
        </is>
      </c>
      <c r="C18" s="79" t="n">
        <v>0</v>
      </c>
      <c r="D18" s="86">
        <f>C18/C24</f>
        <v/>
      </c>
    </row>
    <row r="19" ht="15" customHeight="1" s="61">
      <c r="B19" s="80" t="inlineStr">
        <is>
          <t>Term Loan A</t>
        </is>
      </c>
      <c r="C19" s="81" t="n">
        <v>152</v>
      </c>
      <c r="D19" s="87">
        <f>C19/C24</f>
        <v/>
      </c>
    </row>
    <row r="20" ht="15" customHeight="1" s="61">
      <c r="B20" s="78" t="inlineStr">
        <is>
          <t>Term Loan B</t>
        </is>
      </c>
      <c r="C20" s="79" t="n">
        <v>228</v>
      </c>
      <c r="D20" s="86">
        <f>C20/C24</f>
        <v/>
      </c>
    </row>
    <row r="21" ht="15" customHeight="1" s="61">
      <c r="B21" s="80" t="inlineStr">
        <is>
          <t>Senior Notes</t>
        </is>
      </c>
      <c r="C21" s="81" t="n">
        <v>76</v>
      </c>
      <c r="D21" s="87">
        <f>C21/C24</f>
        <v/>
      </c>
    </row>
    <row r="22" ht="15" customHeight="1" s="61">
      <c r="B22" s="78" t="inlineStr">
        <is>
          <t>Sponsor Equity</t>
        </is>
      </c>
      <c r="C22" s="79" t="n">
        <v>304</v>
      </c>
      <c r="D22" s="86">
        <f>C22/C24</f>
        <v/>
      </c>
    </row>
    <row r="23" ht="15" customHeight="1" s="61">
      <c r="B23" s="80" t="inlineStr">
        <is>
          <t>Management Rollover</t>
        </is>
      </c>
      <c r="C23" s="81" t="n">
        <v>0</v>
      </c>
      <c r="D23" s="87">
        <f>C23/C24</f>
        <v/>
      </c>
    </row>
    <row r="24" ht="15" customHeight="1" s="61">
      <c r="B24" s="88" t="inlineStr">
        <is>
          <t>Total Sources</t>
        </is>
      </c>
      <c r="C24" s="89">
        <f>SUM(C18:C23)</f>
        <v/>
      </c>
      <c r="D24" s="90">
        <f>SUM(D18:D23)</f>
        <v/>
      </c>
    </row>
    <row r="25"/>
    <row r="26"/>
    <row r="27" ht="15.75" customHeight="1" s="61">
      <c r="B27" s="77" t="inlineStr">
        <is>
          <t>DEBT PRICING &amp; AMORTIZATION ASSUMPTIONS</t>
        </is>
      </c>
    </row>
    <row r="28" ht="15" customHeight="1" s="61">
      <c r="B28" s="78" t="inlineStr">
        <is>
          <t>Term Loan A Rate (SOFR + 225bps)</t>
        </is>
      </c>
      <c r="C28" s="91" t="n">
        <v>0.0775</v>
      </c>
    </row>
    <row r="29" ht="15" customHeight="1" s="61">
      <c r="B29" s="80" t="inlineStr">
        <is>
          <t>Term Loan B Rate (SOFR + 350bps)</t>
        </is>
      </c>
      <c r="C29" s="92" t="n">
        <v>0.09</v>
      </c>
    </row>
    <row r="30" ht="15" customHeight="1" s="61">
      <c r="B30" s="78" t="inlineStr">
        <is>
          <t>Senior Notes Rate (Fixed)</t>
        </is>
      </c>
      <c r="C30" s="91" t="n">
        <v>0.075</v>
      </c>
    </row>
    <row r="31" ht="15" customHeight="1" s="61">
      <c r="B31" s="80" t="inlineStr">
        <is>
          <t>TLA Annual Amortization</t>
        </is>
      </c>
      <c r="C31" s="92" t="n">
        <v>0.05</v>
      </c>
    </row>
    <row r="32" ht="15" customHeight="1" s="61">
      <c r="B32" s="78" t="inlineStr">
        <is>
          <t>TLB Annual Amortization</t>
        </is>
      </c>
      <c r="C32" s="91" t="n">
        <v>0.01</v>
      </c>
    </row>
    <row r="33" ht="15" customHeight="1" s="61">
      <c r="B33" s="80" t="inlineStr">
        <is>
          <t>Cash Sweep % (excess CF)</t>
        </is>
      </c>
      <c r="C33" s="92" t="n">
        <v>0.5</v>
      </c>
    </row>
    <row r="34"/>
    <row r="35" ht="15.75" customHeight="1" s="61">
      <c r="B35" s="77" t="inlineStr">
        <is>
          <t>EXIT ASSUMPTIONS</t>
        </is>
      </c>
    </row>
    <row r="36" ht="15" customHeight="1" s="61">
      <c r="B36" s="78" t="inlineStr">
        <is>
          <t>Exit Year</t>
        </is>
      </c>
      <c r="C36" s="93" t="n">
        <v>2029</v>
      </c>
    </row>
    <row r="37" ht="15" customHeight="1" s="61">
      <c r="B37" s="80" t="inlineStr">
        <is>
          <t>Hold Period (years)</t>
        </is>
      </c>
      <c r="C37" s="94">
        <f>C36-2024</f>
        <v/>
      </c>
    </row>
    <row r="38" ht="15" customHeight="1" s="61">
      <c r="B38" s="78" t="inlineStr">
        <is>
          <t>Exit EBITDA Multiple</t>
        </is>
      </c>
      <c r="C38" s="95" t="n">
        <v>10.5</v>
      </c>
    </row>
    <row r="39" ht="15" customHeight="1" s="61">
      <c r="B39" s="80" t="inlineStr">
        <is>
          <t>Exit EBITDA ($mm)</t>
        </is>
      </c>
      <c r="C39" s="81" t="n">
        <v>121</v>
      </c>
    </row>
    <row r="40" ht="15" customHeight="1" s="61">
      <c r="B40" s="78" t="inlineStr">
        <is>
          <t>Exit Enterprise Value ($mm)</t>
        </is>
      </c>
      <c r="C40" s="84">
        <f>C38*C39</f>
        <v/>
      </c>
    </row>
    <row r="41" ht="15" customHeight="1" s="61">
      <c r="B41" s="80" t="inlineStr">
        <is>
          <t>Estimated Exit Net Debt ($mm)</t>
        </is>
      </c>
      <c r="C41" s="81" t="n">
        <v>122</v>
      </c>
    </row>
    <row r="42" ht="15" customHeight="1" s="61">
      <c r="B42" s="78" t="inlineStr">
        <is>
          <t>Exit Equity Value ($mm)</t>
        </is>
      </c>
      <c r="C42" s="84">
        <f>C40-C41</f>
        <v/>
      </c>
    </row>
  </sheetData>
  <mergeCells count="5">
    <mergeCell ref="B27:E27"/>
    <mergeCell ref="B1:E1"/>
    <mergeCell ref="B35:E35"/>
    <mergeCell ref="B16:E16"/>
    <mergeCell ref="B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0" min="1" max="1"/>
    <col width="38" customWidth="1" style="60" min="2" max="2"/>
    <col width="12" customWidth="1" style="60" min="3" max="8"/>
  </cols>
  <sheetData>
    <row r="1" ht="15.75" customHeight="1" s="61">
      <c r="B1" s="76" t="inlineStr">
        <is>
          <t>APEX INDUSTRIAL — OPERATING MODEL (POST-ACQUISITION)</t>
        </is>
      </c>
    </row>
    <row r="2"/>
    <row r="3" ht="15.75" customHeight="1" s="61">
      <c r="B3" s="77" t="inlineStr">
        <is>
          <t>INCOME STATEMENT ($mm)</t>
        </is>
      </c>
    </row>
    <row r="4" ht="15" customHeight="1" s="61">
      <c r="B4" s="85" t="inlineStr">
        <is>
          <t>Line Item</t>
        </is>
      </c>
      <c r="C4" s="67" t="inlineStr">
        <is>
          <t>FY2024A</t>
        </is>
      </c>
      <c r="D4" s="67" t="inlineStr">
        <is>
          <t>FY2025E</t>
        </is>
      </c>
      <c r="E4" s="67" t="inlineStr">
        <is>
          <t>FY2026E</t>
        </is>
      </c>
      <c r="F4" s="67" t="inlineStr">
        <is>
          <t>FY2027E</t>
        </is>
      </c>
      <c r="G4" s="67" t="inlineStr">
        <is>
          <t>FY2028E</t>
        </is>
      </c>
      <c r="H4" s="67" t="inlineStr">
        <is>
          <t>FY2029E</t>
        </is>
      </c>
    </row>
    <row r="5" ht="15" customHeight="1" s="61">
      <c r="B5" s="88" t="inlineStr">
        <is>
          <t>Revenue</t>
        </is>
      </c>
      <c r="C5" s="96" t="n">
        <v>380</v>
      </c>
      <c r="D5" s="96" t="n">
        <v>406.6</v>
      </c>
      <c r="E5" s="96" t="n">
        <v>435.1</v>
      </c>
      <c r="F5" s="96" t="n">
        <v>465.6</v>
      </c>
      <c r="G5" s="96" t="n">
        <v>498.2</v>
      </c>
      <c r="H5" s="96" t="n">
        <v>533</v>
      </c>
    </row>
    <row r="6" ht="15" customHeight="1" s="61">
      <c r="B6" s="78" t="inlineStr">
        <is>
          <t xml:space="preserve">  YoY Growth</t>
        </is>
      </c>
      <c r="C6" s="82" t="inlineStr">
        <is>
          <t>N/A</t>
        </is>
      </c>
      <c r="D6" s="82">
        <f>(D5-C5)/C5</f>
        <v/>
      </c>
      <c r="E6" s="82">
        <f>(E5-D5)/D5</f>
        <v/>
      </c>
      <c r="F6" s="82">
        <f>(F5-E5)/E5</f>
        <v/>
      </c>
      <c r="G6" s="82">
        <f>(G5-F5)/F5</f>
        <v/>
      </c>
      <c r="H6" s="82">
        <f>(H5-G5)/G5</f>
        <v/>
      </c>
    </row>
    <row r="7" ht="15" customHeight="1" s="61">
      <c r="B7" s="88" t="inlineStr">
        <is>
          <t>Gross Profit</t>
        </is>
      </c>
      <c r="C7" s="89">
        <f>C5*0.42</f>
        <v/>
      </c>
      <c r="D7" s="89">
        <f>D5*0.428</f>
        <v/>
      </c>
      <c r="E7" s="89">
        <f>E5*0.436</f>
        <v/>
      </c>
      <c r="F7" s="89">
        <f>F5*0.444</f>
        <v/>
      </c>
      <c r="G7" s="89">
        <f>G5*0.452</f>
        <v/>
      </c>
      <c r="H7" s="89">
        <f>H5*0.46</f>
        <v/>
      </c>
    </row>
    <row r="8" ht="15" customHeight="1" s="61">
      <c r="B8" s="78" t="inlineStr">
        <is>
          <t xml:space="preserve">  Gross Margin %</t>
        </is>
      </c>
      <c r="C8" s="91" t="n">
        <v>0.42</v>
      </c>
      <c r="D8" s="91" t="n">
        <v>0.428</v>
      </c>
      <c r="E8" s="91" t="n">
        <v>0.436</v>
      </c>
      <c r="F8" s="91" t="n">
        <v>0.444</v>
      </c>
      <c r="G8" s="91" t="n">
        <v>0.452</v>
      </c>
      <c r="H8" s="91" t="n">
        <v>0.46</v>
      </c>
    </row>
    <row r="9" ht="15" customHeight="1" s="61">
      <c r="B9" s="88" t="inlineStr">
        <is>
          <t>EBITDA</t>
        </is>
      </c>
      <c r="C9" s="89">
        <f>C5*0.2</f>
        <v/>
      </c>
      <c r="D9" s="89">
        <f>D5*0.21</f>
        <v/>
      </c>
      <c r="E9" s="89">
        <f>E5*0.22</f>
        <v/>
      </c>
      <c r="F9" s="89">
        <f>F5*0.23</f>
        <v/>
      </c>
      <c r="G9" s="89">
        <f>G5*0.24</f>
        <v/>
      </c>
      <c r="H9" s="89">
        <f>H5*0.227</f>
        <v/>
      </c>
    </row>
    <row r="10" ht="15" customHeight="1" s="61">
      <c r="B10" s="78" t="inlineStr">
        <is>
          <t xml:space="preserve">  EBITDA Margin %</t>
        </is>
      </c>
      <c r="C10" s="91" t="n">
        <v>0.2</v>
      </c>
      <c r="D10" s="91" t="n">
        <v>0.21</v>
      </c>
      <c r="E10" s="91" t="n">
        <v>0.22</v>
      </c>
      <c r="F10" s="91" t="n">
        <v>0.23</v>
      </c>
      <c r="G10" s="91" t="n">
        <v>0.24</v>
      </c>
      <c r="H10" s="91" t="n">
        <v>0.227</v>
      </c>
    </row>
    <row r="11" ht="15" customHeight="1" s="61">
      <c r="B11" s="80" t="inlineStr">
        <is>
          <t>Depreciation &amp; Amortization</t>
        </is>
      </c>
      <c r="C11" s="81" t="n">
        <v>12.4</v>
      </c>
      <c r="D11" s="81" t="n">
        <v>13.4</v>
      </c>
      <c r="E11" s="81" t="n">
        <v>14.4</v>
      </c>
      <c r="F11" s="81" t="n">
        <v>15.4</v>
      </c>
      <c r="G11" s="81" t="n">
        <v>16.4</v>
      </c>
      <c r="H11" s="81" t="n">
        <v>17.4</v>
      </c>
    </row>
    <row r="12" ht="15" customHeight="1" s="61">
      <c r="B12" s="88" t="inlineStr">
        <is>
          <t>EBIT</t>
        </is>
      </c>
      <c r="C12" s="89">
        <f>C9-C11</f>
        <v/>
      </c>
      <c r="D12" s="89">
        <f>D9-D11</f>
        <v/>
      </c>
      <c r="E12" s="89">
        <f>E9-E11</f>
        <v/>
      </c>
      <c r="F12" s="89">
        <f>F9-F11</f>
        <v/>
      </c>
      <c r="G12" s="89">
        <f>G9-G11</f>
        <v/>
      </c>
      <c r="H12" s="89">
        <f>H9-H11</f>
        <v/>
      </c>
    </row>
    <row r="13"/>
    <row r="14" ht="15.75" customHeight="1" s="61">
      <c r="B14" s="77" t="inlineStr">
        <is>
          <t>DEBT SCHEDULE ($mm)</t>
        </is>
      </c>
    </row>
    <row r="15" ht="15" customHeight="1" s="61">
      <c r="B15" s="85" t="inlineStr">
        <is>
          <t>Line Item</t>
        </is>
      </c>
      <c r="C15" s="67" t="inlineStr">
        <is>
          <t>FY2024A</t>
        </is>
      </c>
      <c r="D15" s="67" t="inlineStr">
        <is>
          <t>FY2025E</t>
        </is>
      </c>
      <c r="E15" s="67" t="inlineStr">
        <is>
          <t>FY2026E</t>
        </is>
      </c>
      <c r="F15" s="67" t="inlineStr">
        <is>
          <t>FY2027E</t>
        </is>
      </c>
      <c r="G15" s="67" t="inlineStr">
        <is>
          <t>FY2028E</t>
        </is>
      </c>
      <c r="H15" s="67" t="inlineStr">
        <is>
          <t>FY2029E</t>
        </is>
      </c>
    </row>
    <row r="16" ht="15" customHeight="1" s="61">
      <c r="B16" s="78" t="inlineStr">
        <is>
          <t>TLA Beginning Balance</t>
        </is>
      </c>
      <c r="C16" s="84" t="n">
        <v>152</v>
      </c>
      <c r="D16" s="84">
        <f>C18</f>
        <v/>
      </c>
      <c r="E16" s="84">
        <f>D18</f>
        <v/>
      </c>
      <c r="F16" s="84">
        <f>E18</f>
        <v/>
      </c>
      <c r="G16" s="84">
        <f>F18</f>
        <v/>
      </c>
      <c r="H16" s="84">
        <f>G18</f>
        <v/>
      </c>
    </row>
    <row r="17" ht="15" customHeight="1" s="61">
      <c r="B17" s="80" t="inlineStr">
        <is>
          <t xml:space="preserve">  TLA Mandatory Amortization</t>
        </is>
      </c>
      <c r="C17" s="81" t="n">
        <v>7.6</v>
      </c>
      <c r="D17" s="81" t="n">
        <v>8</v>
      </c>
      <c r="E17" s="81" t="n">
        <v>8</v>
      </c>
      <c r="F17" s="81" t="n">
        <v>8</v>
      </c>
      <c r="G17" s="81" t="n">
        <v>8</v>
      </c>
      <c r="H17" s="81" t="n">
        <v>8</v>
      </c>
    </row>
    <row r="18" ht="15" customHeight="1" s="61">
      <c r="B18" s="88" t="inlineStr">
        <is>
          <t>TLA Ending Balance</t>
        </is>
      </c>
      <c r="C18" s="89">
        <f>C16-C17</f>
        <v/>
      </c>
      <c r="D18" s="89">
        <f>D16-D17</f>
        <v/>
      </c>
      <c r="E18" s="89">
        <f>E16-E17</f>
        <v/>
      </c>
      <c r="F18" s="89">
        <f>F16-F17</f>
        <v/>
      </c>
      <c r="G18" s="89">
        <f>G16-G17</f>
        <v/>
      </c>
      <c r="H18" s="89">
        <f>H16-H17</f>
        <v/>
      </c>
    </row>
    <row r="19" ht="15" customHeight="1" s="61">
      <c r="B19" s="80" t="inlineStr">
        <is>
          <t>TLB Beginning Balance</t>
        </is>
      </c>
      <c r="C19" s="94" t="n">
        <v>228</v>
      </c>
      <c r="D19" s="94">
        <f>C21</f>
        <v/>
      </c>
      <c r="E19" s="94">
        <f>D21</f>
        <v/>
      </c>
      <c r="F19" s="94">
        <f>E21</f>
        <v/>
      </c>
      <c r="G19" s="94">
        <f>F21</f>
        <v/>
      </c>
      <c r="H19" s="94">
        <f>G21</f>
        <v/>
      </c>
    </row>
    <row r="20" ht="15" customHeight="1" s="61">
      <c r="B20" s="78" t="inlineStr">
        <is>
          <t xml:space="preserve">  TLB Mandatory Amortization</t>
        </is>
      </c>
      <c r="C20" s="79" t="n">
        <v>2.3</v>
      </c>
      <c r="D20" s="79" t="n">
        <v>2.3</v>
      </c>
      <c r="E20" s="79" t="n">
        <v>2.3</v>
      </c>
      <c r="F20" s="79" t="n">
        <v>2.3</v>
      </c>
      <c r="G20" s="79" t="n">
        <v>2.3</v>
      </c>
      <c r="H20" s="79" t="n">
        <v>2.3</v>
      </c>
    </row>
    <row r="21" ht="15" customHeight="1" s="61">
      <c r="B21" s="88" t="inlineStr">
        <is>
          <t>TLB Ending Balance</t>
        </is>
      </c>
      <c r="C21" s="89">
        <f>C19-C20</f>
        <v/>
      </c>
      <c r="D21" s="89">
        <f>D19-D20</f>
        <v/>
      </c>
      <c r="E21" s="89">
        <f>E19-E20</f>
        <v/>
      </c>
      <c r="F21" s="89">
        <f>F19-F20</f>
        <v/>
      </c>
      <c r="G21" s="89">
        <f>G19-G20</f>
        <v/>
      </c>
      <c r="H21" s="89">
        <f>H19-H20</f>
        <v/>
      </c>
    </row>
    <row r="22" ht="15" customHeight="1" s="61">
      <c r="B22" s="88" t="inlineStr">
        <is>
          <t>Senior Notes</t>
        </is>
      </c>
      <c r="C22" s="96" t="n">
        <v>76</v>
      </c>
      <c r="D22" s="96" t="n">
        <v>76</v>
      </c>
      <c r="E22" s="96" t="n">
        <v>76</v>
      </c>
      <c r="F22" s="96" t="n">
        <v>76</v>
      </c>
      <c r="G22" s="96" t="n">
        <v>76</v>
      </c>
      <c r="H22" s="96" t="n">
        <v>76</v>
      </c>
    </row>
    <row r="23" ht="15" customHeight="1" s="61">
      <c r="B23" s="97" t="inlineStr">
        <is>
          <t>Total Debt (Ending)</t>
        </is>
      </c>
      <c r="C23" s="98">
        <f>C18+C21+C22</f>
        <v/>
      </c>
      <c r="D23" s="98">
        <f>D18+D21+D22</f>
        <v/>
      </c>
      <c r="E23" s="98">
        <f>E18+E21+E22</f>
        <v/>
      </c>
      <c r="F23" s="98">
        <f>F18+F21+F22</f>
        <v/>
      </c>
      <c r="G23" s="98">
        <f>G18+G21+G22</f>
        <v/>
      </c>
      <c r="H23" s="98">
        <f>H18+H21+H22</f>
        <v/>
      </c>
    </row>
    <row r="24" ht="15" customHeight="1" s="61">
      <c r="B24" s="99" t="inlineStr">
        <is>
          <t>Total Interest Expense</t>
        </is>
      </c>
      <c r="C24" s="100">
        <f>(C16*0.0775)+(C19*0.09)+(C22*0.075)</f>
        <v/>
      </c>
      <c r="D24" s="100">
        <f>(D16*0.0775)+(D19*0.09)+(D22*0.075)</f>
        <v/>
      </c>
      <c r="E24" s="100">
        <f>(E16*0.0775)+(E19*0.09)+(E22*0.075)</f>
        <v/>
      </c>
      <c r="F24" s="100">
        <f>(F16*0.0775)+(F19*0.09)+(F22*0.075)</f>
        <v/>
      </c>
      <c r="G24" s="100">
        <f>(G16*0.0775)+(G19*0.09)+(G22*0.075)</f>
        <v/>
      </c>
      <c r="H24" s="100">
        <f>(H16*0.0775)+(H19*0.09)+(H22*0.075)</f>
        <v/>
      </c>
    </row>
    <row r="25" ht="15" customHeight="1" s="61">
      <c r="B25" s="101" t="inlineStr">
        <is>
          <t>Pre-Tax Income</t>
        </is>
      </c>
      <c r="C25" s="102">
        <f>C12-C24</f>
        <v/>
      </c>
      <c r="D25" s="102">
        <f>D12-D24</f>
        <v/>
      </c>
      <c r="E25" s="102">
        <f>E12-E24</f>
        <v/>
      </c>
      <c r="F25" s="102">
        <f>F12-F24</f>
        <v/>
      </c>
      <c r="G25" s="102">
        <f>G12-G24</f>
        <v/>
      </c>
      <c r="H25" s="102">
        <f>H12-H24</f>
        <v/>
      </c>
    </row>
    <row r="26" ht="15" customHeight="1" s="61">
      <c r="B26" s="97" t="inlineStr">
        <is>
          <t>Net Income (after 25% tax)</t>
        </is>
      </c>
      <c r="C26" s="98">
        <f>C25*0.75</f>
        <v/>
      </c>
      <c r="D26" s="98">
        <f>D25*0.75</f>
        <v/>
      </c>
      <c r="E26" s="98">
        <f>E25*0.75</f>
        <v/>
      </c>
      <c r="F26" s="98">
        <f>F25*0.75</f>
        <v/>
      </c>
      <c r="G26" s="98">
        <f>G25*0.75</f>
        <v/>
      </c>
      <c r="H26" s="98">
        <f>H25*0.75</f>
        <v/>
      </c>
    </row>
    <row r="27"/>
    <row r="28" ht="15.75" customHeight="1" s="61">
      <c r="B28" s="77" t="inlineStr">
        <is>
          <t>CREDIT STATISTICS &amp; COVENANTS</t>
        </is>
      </c>
    </row>
    <row r="29" ht="15" customHeight="1" s="61">
      <c r="B29" s="85" t="inlineStr">
        <is>
          <t>Line Item</t>
        </is>
      </c>
      <c r="C29" s="67" t="inlineStr">
        <is>
          <t>FY2024A</t>
        </is>
      </c>
      <c r="D29" s="67" t="inlineStr">
        <is>
          <t>FY2025E</t>
        </is>
      </c>
      <c r="E29" s="67" t="inlineStr">
        <is>
          <t>FY2026E</t>
        </is>
      </c>
      <c r="F29" s="67" t="inlineStr">
        <is>
          <t>FY2027E</t>
        </is>
      </c>
      <c r="G29" s="67" t="inlineStr">
        <is>
          <t>FY2028E</t>
        </is>
      </c>
      <c r="H29" s="67" t="inlineStr">
        <is>
          <t>FY2029E</t>
        </is>
      </c>
    </row>
    <row r="30" ht="15" customHeight="1" s="61">
      <c r="B30" s="78" t="inlineStr">
        <is>
          <t>Total Debt / EBITDA</t>
        </is>
      </c>
      <c r="C30" s="103">
        <f>C23/C9</f>
        <v/>
      </c>
      <c r="D30" s="103">
        <f>D23/D9</f>
        <v/>
      </c>
      <c r="E30" s="103">
        <f>E23/E9</f>
        <v/>
      </c>
      <c r="F30" s="103">
        <f>F23/F9</f>
        <v/>
      </c>
      <c r="G30" s="103">
        <f>G23/G9</f>
        <v/>
      </c>
      <c r="H30" s="103">
        <f>H23/H9</f>
        <v/>
      </c>
    </row>
    <row r="31" ht="15" customHeight="1" s="61">
      <c r="B31" s="80" t="inlineStr">
        <is>
          <t>Net Debt / EBITDA</t>
        </is>
      </c>
      <c r="C31" s="104">
        <f>(C23-10)/C9</f>
        <v/>
      </c>
      <c r="D31" s="104">
        <f>(D23-10)/D9</f>
        <v/>
      </c>
      <c r="E31" s="104">
        <f>(E23-10)/E9</f>
        <v/>
      </c>
      <c r="F31" s="104">
        <f>(F23-10)/F9</f>
        <v/>
      </c>
      <c r="G31" s="104">
        <f>(G23-10)/G9</f>
        <v/>
      </c>
      <c r="H31" s="104">
        <f>(H23-10)/H9</f>
        <v/>
      </c>
    </row>
    <row r="32" ht="15" customHeight="1" s="61">
      <c r="B32" s="78" t="inlineStr">
        <is>
          <t>EBITDA / Interest (Coverage)</t>
        </is>
      </c>
      <c r="C32" s="103">
        <f>C9/C24</f>
        <v/>
      </c>
      <c r="D32" s="103">
        <f>D9/D24</f>
        <v/>
      </c>
      <c r="E32" s="103">
        <f>E9/E24</f>
        <v/>
      </c>
      <c r="F32" s="103">
        <f>F9/F24</f>
        <v/>
      </c>
      <c r="G32" s="103">
        <f>G9/G24</f>
        <v/>
      </c>
      <c r="H32" s="103">
        <f>H9/H24</f>
        <v/>
      </c>
    </row>
    <row r="33" ht="15" customHeight="1" s="61">
      <c r="B33" s="80" t="inlineStr">
        <is>
          <t>Fixed Charge Coverage Ratio</t>
        </is>
      </c>
      <c r="C33" s="104">
        <f>(C9-C11)/C24</f>
        <v/>
      </c>
      <c r="D33" s="104">
        <f>(D9-D11)/D24</f>
        <v/>
      </c>
      <c r="E33" s="104">
        <f>(E9-E11)/E24</f>
        <v/>
      </c>
      <c r="F33" s="104">
        <f>(F9-F11)/F24</f>
        <v/>
      </c>
      <c r="G33" s="104">
        <f>(G9-G11)/G24</f>
        <v/>
      </c>
      <c r="H33" s="104">
        <f>(H9-H11)/H24</f>
        <v/>
      </c>
    </row>
    <row r="34" ht="15" customHeight="1" s="61">
      <c r="B34" s="105" t="inlineStr">
        <is>
          <t>Debt Covenant (Max Net Lev)</t>
        </is>
      </c>
      <c r="C34" s="95" t="n">
        <v>5.5</v>
      </c>
      <c r="D34" s="95" t="n">
        <v>5</v>
      </c>
      <c r="E34" s="95" t="n">
        <v>4.5</v>
      </c>
      <c r="F34" s="95" t="n">
        <v>4</v>
      </c>
      <c r="G34" s="95" t="n">
        <v>3.5</v>
      </c>
      <c r="H34" s="95" t="n">
        <v>3.5</v>
      </c>
    </row>
  </sheetData>
  <mergeCells count="4">
    <mergeCell ref="B1:H1"/>
    <mergeCell ref="B3:H3"/>
    <mergeCell ref="B14:H14"/>
    <mergeCell ref="B28:H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0" min="1" max="1"/>
    <col width="30" customWidth="1" style="60" min="2" max="2"/>
    <col width="14" customWidth="1" style="60" min="3" max="9"/>
  </cols>
  <sheetData>
    <row r="1" ht="15.75" customHeight="1" s="61">
      <c r="B1" s="76" t="inlineStr">
        <is>
          <t>APEX INDUSTRIAL — LBO RETURNS ANALYSIS</t>
        </is>
      </c>
    </row>
    <row r="2"/>
    <row r="3" ht="15.75" customHeight="1" s="61">
      <c r="B3" s="77" t="inlineStr">
        <is>
          <t>BASE CASE RETURNS SUMMARY (5-YEAR HOLD)</t>
        </is>
      </c>
    </row>
    <row r="4" ht="15" customHeight="1" s="61">
      <c r="B4" s="67" t="inlineStr">
        <is>
          <t>Metric</t>
        </is>
      </c>
      <c r="C4" s="67" t="inlineStr">
        <is>
          <t>Entry (2024)</t>
        </is>
      </c>
      <c r="D4" s="67" t="inlineStr">
        <is>
          <t>Year 3 (2027)</t>
        </is>
      </c>
      <c r="E4" s="67" t="inlineStr">
        <is>
          <t>Year 5 (2029)</t>
        </is>
      </c>
      <c r="F4" s="67" t="inlineStr">
        <is>
          <t>Year 7 (2031)</t>
        </is>
      </c>
    </row>
    <row r="5" ht="15" customHeight="1" s="61">
      <c r="B5" s="72" t="inlineStr">
        <is>
          <t>Revenue ($mm)</t>
        </is>
      </c>
      <c r="C5" s="69" t="inlineStr">
        <is>
          <t>$380</t>
        </is>
      </c>
      <c r="D5" s="69" t="inlineStr">
        <is>
          <t>$466</t>
        </is>
      </c>
      <c r="E5" s="69" t="inlineStr">
        <is>
          <t>$533</t>
        </is>
      </c>
      <c r="F5" s="69" t="inlineStr">
        <is>
          <t>$655</t>
        </is>
      </c>
    </row>
    <row r="6" ht="15" customHeight="1" s="61">
      <c r="B6" s="73" t="inlineStr">
        <is>
          <t>EBITDA ($mm)</t>
        </is>
      </c>
      <c r="C6" s="71" t="inlineStr">
        <is>
          <t>$76</t>
        </is>
      </c>
      <c r="D6" s="71" t="inlineStr">
        <is>
          <t>$107</t>
        </is>
      </c>
      <c r="E6" s="71" t="inlineStr">
        <is>
          <t>$121</t>
        </is>
      </c>
      <c r="F6" s="71" t="inlineStr">
        <is>
          <t>$148</t>
        </is>
      </c>
    </row>
    <row r="7" ht="15" customHeight="1" s="61">
      <c r="B7" s="72" t="inlineStr">
        <is>
          <t>EBITDA Margin</t>
        </is>
      </c>
      <c r="C7" s="69" t="inlineStr">
        <is>
          <t>20.0%</t>
        </is>
      </c>
      <c r="D7" s="69" t="inlineStr">
        <is>
          <t>23.0%</t>
        </is>
      </c>
      <c r="E7" s="69" t="inlineStr">
        <is>
          <t>22.7%</t>
        </is>
      </c>
      <c r="F7" s="69" t="inlineStr">
        <is>
          <t>22.6%</t>
        </is>
      </c>
    </row>
    <row r="8" ht="15" customHeight="1" s="61">
      <c r="B8" s="73" t="inlineStr">
        <is>
          <t>EV/EBITDA Exit Multiple</t>
        </is>
      </c>
      <c r="C8" s="71" t="inlineStr">
        <is>
          <t>10.0x</t>
        </is>
      </c>
      <c r="D8" s="71" t="inlineStr">
        <is>
          <t>10.0x</t>
        </is>
      </c>
      <c r="E8" s="71" t="inlineStr">
        <is>
          <t>10.5x</t>
        </is>
      </c>
      <c r="F8" s="71" t="inlineStr">
        <is>
          <t>11.0x</t>
        </is>
      </c>
    </row>
    <row r="9" ht="15" customHeight="1" s="61">
      <c r="B9" s="72" t="inlineStr">
        <is>
          <t>Enterprise Value ($mm)</t>
        </is>
      </c>
      <c r="C9" s="69" t="inlineStr">
        <is>
          <t>$760</t>
        </is>
      </c>
      <c r="D9" s="69" t="inlineStr">
        <is>
          <t>$1,074</t>
        </is>
      </c>
      <c r="E9" s="69" t="inlineStr">
        <is>
          <t>$1,276</t>
        </is>
      </c>
      <c r="F9" s="69" t="inlineStr">
        <is>
          <t>$1,632</t>
        </is>
      </c>
    </row>
    <row r="10" ht="15" customHeight="1" s="61">
      <c r="B10" s="73" t="inlineStr">
        <is>
          <t>Less: Net Debt ($mm)</t>
        </is>
      </c>
      <c r="C10" s="71" t="inlineStr">
        <is>
          <t>($456)</t>
        </is>
      </c>
      <c r="D10" s="71" t="inlineStr">
        <is>
          <t>($310)</t>
        </is>
      </c>
      <c r="E10" s="71" t="inlineStr">
        <is>
          <t>($122)</t>
        </is>
      </c>
      <c r="F10" s="71" t="inlineStr">
        <is>
          <t>—</t>
        </is>
      </c>
    </row>
    <row r="11" ht="15" customHeight="1" s="61">
      <c r="B11" s="72" t="inlineStr">
        <is>
          <t>Equity Value ($mm)</t>
        </is>
      </c>
      <c r="C11" s="69" t="inlineStr">
        <is>
          <t>$304</t>
        </is>
      </c>
      <c r="D11" s="69" t="inlineStr">
        <is>
          <t>$764</t>
        </is>
      </c>
      <c r="E11" s="69" t="inlineStr">
        <is>
          <t>$1,154</t>
        </is>
      </c>
      <c r="F11" s="69" t="inlineStr">
        <is>
          <t>$1,632</t>
        </is>
      </c>
    </row>
    <row r="12" ht="15" customHeight="1" s="61">
      <c r="B12" s="74" t="inlineStr">
        <is>
          <t>Money-on-Money (MoM)</t>
        </is>
      </c>
      <c r="C12" s="75" t="inlineStr">
        <is>
          <t>1.0x</t>
        </is>
      </c>
      <c r="D12" s="75" t="inlineStr">
        <is>
          <t>2.5x</t>
        </is>
      </c>
      <c r="E12" s="75" t="inlineStr">
        <is>
          <t>3.8x</t>
        </is>
      </c>
      <c r="F12" s="75" t="inlineStr">
        <is>
          <t>5.4x</t>
        </is>
      </c>
    </row>
    <row r="13" ht="15" customHeight="1" s="61">
      <c r="B13" s="74" t="inlineStr">
        <is>
          <t>IRR (from Entry)</t>
        </is>
      </c>
      <c r="C13" s="106" t="inlineStr">
        <is>
          <t>—</t>
        </is>
      </c>
      <c r="D13" s="106" t="inlineStr">
        <is>
          <t>36.0%</t>
        </is>
      </c>
      <c r="E13" s="106" t="inlineStr">
        <is>
          <t>30.4%</t>
        </is>
      </c>
      <c r="F13" s="106" t="inlineStr">
        <is>
          <t>27.2%</t>
        </is>
      </c>
    </row>
    <row r="14"/>
    <row r="15"/>
    <row r="16" ht="15.75" customHeight="1" s="61">
      <c r="B16" s="77" t="inlineStr">
        <is>
          <t>IRR SENSITIVITY: EXIT MULTIPLE vs. EBITDA MARGIN (5-YEAR HOLD)</t>
        </is>
      </c>
    </row>
    <row r="17" ht="15" customHeight="1" s="61">
      <c r="B17" s="67" t="inlineStr">
        <is>
          <t>Exit Multiple \ EBITDA Margin</t>
        </is>
      </c>
      <c r="C17" s="107" t="n">
        <v>0.18</v>
      </c>
      <c r="D17" s="107" t="n">
        <v>0.2</v>
      </c>
      <c r="E17" s="107" t="n">
        <v>0.22</v>
      </c>
      <c r="F17" s="107" t="n">
        <v>0.24</v>
      </c>
      <c r="G17" s="107" t="n">
        <v>0.26</v>
      </c>
      <c r="H17" s="107" t="n">
        <v>0.28</v>
      </c>
    </row>
    <row r="18" ht="15" customHeight="1" s="61">
      <c r="B18" s="108" t="n">
        <v>8</v>
      </c>
      <c r="C18" s="109" t="n">
        <v>0.162522439021854</v>
      </c>
      <c r="D18" s="109" t="n">
        <v>0.191733700411402</v>
      </c>
      <c r="E18" s="110" t="n">
        <v>0.218333388237381</v>
      </c>
      <c r="F18" s="110" t="n">
        <v>0.242794508086816</v>
      </c>
      <c r="G18" s="111" t="n">
        <v>0.265468883291899</v>
      </c>
      <c r="H18" s="111" t="n">
        <v>0.286625784228319</v>
      </c>
    </row>
    <row r="19" ht="15" customHeight="1" s="61">
      <c r="B19" s="108" t="n">
        <v>9</v>
      </c>
      <c r="C19" s="109" t="n">
        <v>0.19519032860448</v>
      </c>
      <c r="D19" s="110" t="n">
        <v>0.224633708456</v>
      </c>
      <c r="E19" s="111" t="n">
        <v>0.251490818720781</v>
      </c>
      <c r="F19" s="111" t="n">
        <v>0.276222682597349</v>
      </c>
      <c r="G19" s="111" t="n">
        <v>0.299173911244199</v>
      </c>
      <c r="H19" s="111" t="n">
        <v>0.320609321779744</v>
      </c>
    </row>
    <row r="20" ht="15" customHeight="1" s="61">
      <c r="B20" s="108" t="n">
        <v>10</v>
      </c>
      <c r="C20" s="110" t="n">
        <v>0.224633708456</v>
      </c>
      <c r="D20" s="111" t="n">
        <v>0.254336610496948</v>
      </c>
      <c r="E20" s="111" t="n">
        <v>0.28146645919569</v>
      </c>
      <c r="F20" s="111" t="n">
        <v>0.306476198578092</v>
      </c>
      <c r="G20" s="111" t="n">
        <v>0.329705702743501</v>
      </c>
      <c r="H20" s="111" t="n">
        <v>0.351416970331977</v>
      </c>
    </row>
    <row r="21" ht="15" customHeight="1" s="61">
      <c r="B21" s="108" t="n">
        <v>11</v>
      </c>
      <c r="C21" s="111" t="n">
        <v>0.251490818720781</v>
      </c>
      <c r="D21" s="111" t="n">
        <v>0.28146645919569</v>
      </c>
      <c r="E21" s="111" t="n">
        <v>0.308874415540721</v>
      </c>
      <c r="F21" s="111" t="n">
        <v>0.334162119032379</v>
      </c>
      <c r="G21" s="111" t="n">
        <v>0.357666337858646</v>
      </c>
      <c r="H21" s="111" t="n">
        <v>0.379647329995186</v>
      </c>
    </row>
    <row r="22" ht="15" customHeight="1" s="61">
      <c r="B22" s="108" t="n">
        <v>12</v>
      </c>
      <c r="C22" s="111" t="n">
        <v>0.276222682597349</v>
      </c>
      <c r="D22" s="111" t="n">
        <v>0.306476198578092</v>
      </c>
      <c r="E22" s="111" t="n">
        <v>0.334162119032379</v>
      </c>
      <c r="F22" s="111" t="n">
        <v>0.359724123775941</v>
      </c>
      <c r="G22" s="111" t="n">
        <v>0.38349699471232</v>
      </c>
      <c r="H22" s="111" t="n">
        <v>0.405739987860687</v>
      </c>
    </row>
    <row r="23" ht="15" customHeight="1" s="61">
      <c r="B23" s="108" t="n">
        <v>13</v>
      </c>
      <c r="C23" s="111" t="n">
        <v>0.299173911244199</v>
      </c>
      <c r="D23" s="111" t="n">
        <v>0.329705702743501</v>
      </c>
      <c r="E23" s="111" t="n">
        <v>0.357666337858646</v>
      </c>
      <c r="F23" s="111" t="n">
        <v>0.38349699471232</v>
      </c>
      <c r="G23" s="111" t="n">
        <v>0.407531262145543</v>
      </c>
      <c r="H23" s="111" t="n">
        <v>0.430027915911991</v>
      </c>
    </row>
    <row r="24"/>
    <row r="25"/>
    <row r="26" ht="15.75" customHeight="1" s="61">
      <c r="B26" s="77" t="inlineStr">
        <is>
          <t>MoM SENSITIVITY: EXIT MULTIPLE vs. HOLD PERIOD</t>
        </is>
      </c>
    </row>
    <row r="27" ht="15" customHeight="1" s="61">
      <c r="B27" s="67" t="inlineStr">
        <is>
          <t>Exit Multiple \ Hold Period</t>
        </is>
      </c>
      <c r="C27" s="67" t="inlineStr">
        <is>
          <t>3 Years</t>
        </is>
      </c>
      <c r="D27" s="67" t="inlineStr">
        <is>
          <t>4 Years</t>
        </is>
      </c>
      <c r="E27" s="67" t="inlineStr">
        <is>
          <t>5 Years</t>
        </is>
      </c>
      <c r="F27" s="67" t="inlineStr">
        <is>
          <t>6 Years</t>
        </is>
      </c>
      <c r="G27" s="67" t="inlineStr">
        <is>
          <t>7 Years</t>
        </is>
      </c>
    </row>
    <row r="28" ht="15" customHeight="1" s="61">
      <c r="B28" s="108" t="n">
        <v>7</v>
      </c>
      <c r="C28" s="112" t="n">
        <v>1.32797850085526</v>
      </c>
      <c r="D28" s="113" t="n">
        <v>1.62988436433618</v>
      </c>
      <c r="E28" s="113" t="n">
        <v>1.94371311194498</v>
      </c>
      <c r="F28" s="114" t="n">
        <v>2.2702993455706</v>
      </c>
      <c r="G28" s="115" t="n">
        <v>2.61053608923423</v>
      </c>
    </row>
    <row r="29" ht="15" customHeight="1" s="61">
      <c r="B29" s="108" t="n">
        <v>8.5</v>
      </c>
      <c r="C29" s="113" t="n">
        <v>1.84938742773026</v>
      </c>
      <c r="D29" s="114" t="n">
        <v>2.18779191609244</v>
      </c>
      <c r="E29" s="115" t="n">
        <v>2.54067419232417</v>
      </c>
      <c r="F29" s="115" t="n">
        <v>2.90904770157634</v>
      </c>
      <c r="G29" s="116" t="n">
        <v>3.29399683016036</v>
      </c>
    </row>
    <row r="30" ht="15" customHeight="1" s="61">
      <c r="B30" s="108" t="n">
        <v>10</v>
      </c>
      <c r="C30" s="114" t="n">
        <v>2.37079635460526</v>
      </c>
      <c r="D30" s="115" t="n">
        <v>2.74569946784869</v>
      </c>
      <c r="E30" s="116" t="n">
        <v>3.13763527270336</v>
      </c>
      <c r="F30" s="116" t="n">
        <v>3.54779605758207</v>
      </c>
      <c r="G30" s="116" t="n">
        <v>3.97745757108649</v>
      </c>
    </row>
    <row r="31" ht="15" customHeight="1" s="61">
      <c r="B31" s="108" t="n">
        <v>11.5</v>
      </c>
      <c r="C31" s="115" t="n">
        <v>2.89220528148026</v>
      </c>
      <c r="D31" s="116" t="n">
        <v>3.30360701960494</v>
      </c>
      <c r="E31" s="116" t="n">
        <v>3.73459635308254</v>
      </c>
      <c r="F31" s="116" t="n">
        <v>4.1865444135878</v>
      </c>
      <c r="G31" s="116" t="n">
        <v>4.66091831201263</v>
      </c>
    </row>
    <row r="32" ht="15" customHeight="1" s="61">
      <c r="B32" s="108" t="n">
        <v>13</v>
      </c>
      <c r="C32" s="116" t="n">
        <v>3.41361420835526</v>
      </c>
      <c r="D32" s="116" t="n">
        <v>3.86151457136119</v>
      </c>
      <c r="E32" s="116" t="n">
        <v>4.33155743346173</v>
      </c>
      <c r="F32" s="116" t="n">
        <v>4.82529276959353</v>
      </c>
      <c r="G32" s="116" t="n">
        <v>5.34437905293876</v>
      </c>
    </row>
    <row r="33"/>
    <row r="34"/>
    <row r="35" ht="15.75" customHeight="1" s="61">
      <c r="B35" s="77" t="inlineStr">
        <is>
          <t>SCENARIO ANALYSIS: BEAR / BASE / BULL CASE</t>
        </is>
      </c>
    </row>
    <row r="36" ht="15" customHeight="1" s="61">
      <c r="B36" s="67" t="inlineStr">
        <is>
          <t>Metric</t>
        </is>
      </c>
      <c r="C36" s="67" t="inlineStr">
        <is>
          <t>Bear Case</t>
        </is>
      </c>
      <c r="E36" s="67" t="inlineStr">
        <is>
          <t>Base Case</t>
        </is>
      </c>
      <c r="G36" s="67" t="inlineStr">
        <is>
          <t>Bull Case</t>
        </is>
      </c>
    </row>
    <row r="37" ht="15" customHeight="1" s="61">
      <c r="B37" s="78" t="inlineStr">
        <is>
          <t>Revenue CAGR</t>
        </is>
      </c>
      <c r="C37" s="117" t="inlineStr">
        <is>
          <t>4%</t>
        </is>
      </c>
      <c r="D37" s="117" t="n"/>
      <c r="E37" s="118" t="inlineStr">
        <is>
          <t>7%</t>
        </is>
      </c>
      <c r="F37" s="118" t="n"/>
      <c r="G37" s="119" t="inlineStr">
        <is>
          <t>10%</t>
        </is>
      </c>
      <c r="H37" s="119" t="n"/>
    </row>
    <row r="38" ht="15" customHeight="1" s="61">
      <c r="B38" s="80" t="inlineStr">
        <is>
          <t>Exit EBITDA Margin</t>
        </is>
      </c>
      <c r="C38" s="117" t="inlineStr">
        <is>
          <t>18%</t>
        </is>
      </c>
      <c r="D38" s="117" t="n"/>
      <c r="E38" s="118" t="inlineStr">
        <is>
          <t>22.7%</t>
        </is>
      </c>
      <c r="F38" s="118" t="n"/>
      <c r="G38" s="119" t="inlineStr">
        <is>
          <t>28%</t>
        </is>
      </c>
      <c r="H38" s="119" t="n"/>
    </row>
    <row r="39" ht="15" customHeight="1" s="61">
      <c r="B39" s="78" t="inlineStr">
        <is>
          <t>Exit EV/EBITDA</t>
        </is>
      </c>
      <c r="C39" s="117" t="inlineStr">
        <is>
          <t>8.0x</t>
        </is>
      </c>
      <c r="D39" s="117" t="n"/>
      <c r="E39" s="118" t="inlineStr">
        <is>
          <t>10.5x</t>
        </is>
      </c>
      <c r="F39" s="118" t="n"/>
      <c r="G39" s="119" t="inlineStr">
        <is>
          <t>13.0x</t>
        </is>
      </c>
      <c r="H39" s="119" t="n"/>
    </row>
    <row r="40" ht="15" customHeight="1" s="61">
      <c r="B40" s="80" t="inlineStr">
        <is>
          <t>Exit Equity Value ($mm)</t>
        </is>
      </c>
      <c r="C40" s="117" t="inlineStr">
        <is>
          <t>$512</t>
        </is>
      </c>
      <c r="D40" s="117" t="n"/>
      <c r="E40" s="118" t="inlineStr">
        <is>
          <t>$1,154</t>
        </is>
      </c>
      <c r="F40" s="118" t="n"/>
      <c r="G40" s="119" t="inlineStr">
        <is>
          <t>$2,142</t>
        </is>
      </c>
      <c r="H40" s="119" t="n"/>
    </row>
    <row r="41" ht="15" customHeight="1" s="61">
      <c r="B41" s="78" t="inlineStr">
        <is>
          <t>Money-on-Money</t>
        </is>
      </c>
      <c r="C41" s="117" t="inlineStr">
        <is>
          <t>1.7x</t>
        </is>
      </c>
      <c r="D41" s="117" t="n"/>
      <c r="E41" s="118" t="inlineStr">
        <is>
          <t>3.8x</t>
        </is>
      </c>
      <c r="F41" s="118" t="n"/>
      <c r="G41" s="119" t="inlineStr">
        <is>
          <t>7.0x</t>
        </is>
      </c>
      <c r="H41" s="119" t="n"/>
    </row>
    <row r="42" ht="15" customHeight="1" s="61">
      <c r="B42" s="80" t="inlineStr">
        <is>
          <t>IRR (5-Year)</t>
        </is>
      </c>
      <c r="C42" s="117" t="inlineStr">
        <is>
          <t>11.0%</t>
        </is>
      </c>
      <c r="D42" s="117" t="n"/>
      <c r="E42" s="118" t="inlineStr">
        <is>
          <t>30.4%</t>
        </is>
      </c>
      <c r="F42" s="118" t="n"/>
      <c r="G42" s="119" t="inlineStr">
        <is>
          <t>48.0%</t>
        </is>
      </c>
      <c r="H42" s="119" t="n"/>
    </row>
  </sheetData>
  <mergeCells count="5">
    <mergeCell ref="B16:I16"/>
    <mergeCell ref="B3:I3"/>
    <mergeCell ref="B1:I1"/>
    <mergeCell ref="B35:I35"/>
    <mergeCell ref="B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2026-03-17T00:09:09Z</dcterms:created>
  <dcterms:modified xmlns:dcterms="http://purl.org/dc/terms/" xmlns:xsi="http://www.w3.org/2001/XMLSchema-instance" xsi:type="dcterms:W3CDTF">2026-03-25T21:54:07Z</dcterms:modified>
  <cp:revision>0</cp:revision>
</cp:coreProperties>
</file>